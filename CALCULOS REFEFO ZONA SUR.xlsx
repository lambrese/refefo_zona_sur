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CIONES" sheetId="1" r:id="rId4"/>
    <sheet state="visible" name="TRAMO MAS COMPROMETIDO" sheetId="2" r:id="rId5"/>
    <sheet state="visible" name="DATOS DE EQUIPOS" sheetId="3" r:id="rId6"/>
    <sheet state="visible" name="PP - OSNR - GSNR" sheetId="4" r:id="rId7"/>
    <sheet state="visible" name="NO LINEALIDADES" sheetId="5" r:id="rId8"/>
    <sheet state="visible" name="DISPERSION CROMATICA" sheetId="6" r:id="rId9"/>
    <sheet state="visible" name="PMD" sheetId="7" r:id="rId10"/>
    <sheet state="visible" name="TABLA CANALES" sheetId="8" r:id="rId11"/>
  </sheets>
  <definedNames/>
  <calcPr/>
</workbook>
</file>

<file path=xl/sharedStrings.xml><?xml version="1.0" encoding="utf-8"?>
<sst xmlns="http://schemas.openxmlformats.org/spreadsheetml/2006/main" count="1188" uniqueCount="368">
  <si>
    <t>TRANSCEIVER</t>
  </si>
  <si>
    <t>PARAMETRO</t>
  </si>
  <si>
    <t>NEUQUEN - BAHIA BLANCA [dB]</t>
  </si>
  <si>
    <t>NEUQUEN - CALETA OLIVIA [dB]</t>
  </si>
  <si>
    <t>NEUQUEN - RIO GALLEGOS [dB]</t>
  </si>
  <si>
    <t>RIO GALLEGOS - SAN SEBASTIAN [dB]</t>
  </si>
  <si>
    <t>SAN SEBASTIAN - USHUAIA [dB]</t>
  </si>
  <si>
    <t>RIO GALLEGOS - ESTACION CULLEN [dB]</t>
  </si>
  <si>
    <t>ESTACION CULLEN - RIO GRANDE [dB]</t>
  </si>
  <si>
    <t>RIO GRANDE - TOLHUIN [dB]</t>
  </si>
  <si>
    <t>NEUQUEN - SAN RAFAEL [dB]</t>
  </si>
  <si>
    <t>RIO GALLEGOS - CALETA OLIVIA [dB]</t>
  </si>
  <si>
    <t>SANTA ISABEL - NEUQUEN [dB]</t>
  </si>
  <si>
    <t>BAHIA BLANCA -  CALETA OLIVIA [dB]</t>
  </si>
  <si>
    <t>BAHIA BLANCA - RIO GALLEGOS [dB]</t>
  </si>
  <si>
    <t>RIO GALLEGOS - NEUQUEN [dB]</t>
  </si>
  <si>
    <t>CALETA OLVIA - NEUQUEN [dB]</t>
  </si>
  <si>
    <t>Smartoptics QSFP-DD TQD011-TUNC-SO</t>
  </si>
  <si>
    <t xml:space="preserve">DISTANCIA </t>
  </si>
  <si>
    <t>GSNR = 20.87 | OSNR = 22.67 | MARGEN = 5.37</t>
  </si>
  <si>
    <t>GSNR = 16.94 | OSNR = 18.26 | MARGEN = 1.44</t>
  </si>
  <si>
    <t xml:space="preserve">GSNR = 15.64 | OSNR = 16.72 | MARGEN = 0.14 </t>
  </si>
  <si>
    <t>GSNR = 23.55 | OSNR = 25.05 | MARGEN = 8.05</t>
  </si>
  <si>
    <t xml:space="preserve">GSNR = 23.03 | OSNR = 25.16 | MARGEN = 7.53 </t>
  </si>
  <si>
    <t>GSNR = 24.69 | OSNR = 26.47 | MARGEN = 9.19</t>
  </si>
  <si>
    <t>GSNR = 26.32 | OSNR = 26.72 | MARGEN = 10.82</t>
  </si>
  <si>
    <t>GSNR = 26.31 | OSNR = 28.82 | MARGEN = 10.81</t>
  </si>
  <si>
    <t>GSNR = 22.02 | OSNR = 22.86 | MARGEN = 6.52</t>
  </si>
  <si>
    <t>GSNR = 16.97 | OSNR = 18.25 | MARGEN = 1.47</t>
  </si>
  <si>
    <t>GSNR = 21.54 | OSNR = 21.88 | MARGEN = 6.04</t>
  </si>
  <si>
    <t>GSNR = 22.39 | OSNR = 24.12 | MARGEN = 6.89</t>
  </si>
  <si>
    <t xml:space="preserve">GSNR = 17.94 | OSNR = 19.12 | MARGEN = 2.44 </t>
  </si>
  <si>
    <t>GSNR = 16.41 | OSNR = 17.32 | MARGEN = 0.91</t>
  </si>
  <si>
    <t xml:space="preserve">GSNR = 14.99 | OSNR = 16.55 | MARGEN = -0.51 </t>
  </si>
  <si>
    <t xml:space="preserve">GSNR = 16.45 | OSNR = 17.80 | MARGEN = 0.95 </t>
  </si>
  <si>
    <t xml:space="preserve">GSNR </t>
  </si>
  <si>
    <t>Smartoptics QSFP28 TQ2025-TUNx</t>
  </si>
  <si>
    <t>DISTANCIA</t>
  </si>
  <si>
    <t>GSNR = 20.81 | OSNR = 22.92 | MARGEN = 4.31</t>
  </si>
  <si>
    <t>GSNR = 16.83 | OSNR = 18.35 | MARGEN = 0.33</t>
  </si>
  <si>
    <t>GSNR = 15.55 | OSNR = 16.78 | MARGEN = -0.95</t>
  </si>
  <si>
    <t>GSNR = 23.66 | OSNR = 25.49 | MARGEN = 7.16</t>
  </si>
  <si>
    <t xml:space="preserve">GSNR = 23.04 | OSNR = 25.61 | MARGEN = 6.54 </t>
  </si>
  <si>
    <t>GSNR = 24.85 | OSNR = 27.09 | MARGEN = 8.35</t>
  </si>
  <si>
    <t>GSNR = 26.85 | OSNR = 27.38 | MARGEN = 10.35</t>
  </si>
  <si>
    <t>GSNR = 26.59 | OSNR = 29.94 | MARGEN = 10.09</t>
  </si>
  <si>
    <t>GSNR = 22.11 | OSNR = 23.12 | MARGEN = 5.61</t>
  </si>
  <si>
    <t>GSNR = 16.87 | OSNR = 18.35 | MARGEN = 0.37</t>
  </si>
  <si>
    <t xml:space="preserve">GSNR = 21.68 | OSNR = 22.09 | MARGEN = 5.18 </t>
  </si>
  <si>
    <t>GSNR = 22.41 | OSNR = 24.48 | MARGEN = 5.91</t>
  </si>
  <si>
    <t xml:space="preserve">GSNR = 17.87 | OSNR = 19.23 | MARGEN = 1.37 </t>
  </si>
  <si>
    <t>GSNR = 16.35 | OSNR = 17.39 | MARGEN = -0.15</t>
  </si>
  <si>
    <t xml:space="preserve">GSNR = 14.84 | OSNR = 16.61 | MARGEN = -1.66 </t>
  </si>
  <si>
    <t xml:space="preserve">GSNR = 16.34 | OSNR = 17.88 | MARGEN = -0.16 </t>
  </si>
  <si>
    <t>GSNR</t>
  </si>
  <si>
    <t>Smartoptics QSFP-DD TQD013-TUNC-SO</t>
  </si>
  <si>
    <t>GSNR = 21.00 | OSNR = 22.87 | MARGEN = 9.50</t>
  </si>
  <si>
    <t>GSNR = 16.99 | OSNR = 18.33 | MARGEN = 5.49</t>
  </si>
  <si>
    <t xml:space="preserve">GSNR = 15.68 | OSNR = 16.76 | MARGEN = 4.18 </t>
  </si>
  <si>
    <t>GSNR = 23.79 | OSNR = 25.40 | MARGEN = 12.29</t>
  </si>
  <si>
    <t xml:space="preserve">GSNR = 23.24 | OSNR = 25.52 | MARGEN = 11.74 </t>
  </si>
  <si>
    <t>GSNR = 25.00 | OSNR = 26.96 | MARGEN = 13.50</t>
  </si>
  <si>
    <t xml:space="preserve">GSNR = 26.79 | OSNR = 27.24 | MARGEN = 15.29 </t>
  </si>
  <si>
    <t>GSNR = 26.78 | OSNR = 29.70 | MARGEN = 15.28</t>
  </si>
  <si>
    <t xml:space="preserve">GSNR = 22.19 | OSNR = 23.07 | MARGEN = 10.69 </t>
  </si>
  <si>
    <t>GSNR = 17.02  | OSNR = 18.32 | MARGEN = 5.52</t>
  </si>
  <si>
    <t xml:space="preserve">GSNR = 21.69 | OSNR = 22.05 | MARGEN = 10.19 </t>
  </si>
  <si>
    <t xml:space="preserve">GSNR = 22.57  | OSNR = 24.40 | MARGEN = 11.07 </t>
  </si>
  <si>
    <t xml:space="preserve">GSNR = 18.01 | OSNR = 19.21 | MARGEN = 6.51 </t>
  </si>
  <si>
    <t xml:space="preserve">GSNR = 16.46 | OSNR = 17.37 | MARGEN = 4.96 </t>
  </si>
  <si>
    <t xml:space="preserve">GSNR = 15.02 | OSNR = 16.59 | MARGEN = 3.52 </t>
  </si>
  <si>
    <t xml:space="preserve">GSNR = 16.50 | OSNR = 17.86 | MARGEN = 5.00 </t>
  </si>
  <si>
    <t>Smartoptics QSFP-DD TQD014-TUNC-SO</t>
  </si>
  <si>
    <t>GSNR = 21.06 | OSNR = 22.96 | MARGEN = 9.06</t>
  </si>
  <si>
    <t>GSNR = 17.93 | OSNR = 18.29 | MARGEN = 5.93</t>
  </si>
  <si>
    <t xml:space="preserve">GSNR = 15.69 | OSNR = 16.79 | MARGEN = 3.69 </t>
  </si>
  <si>
    <t>GSNR = 23.91 | OSNR = 25.57 | MARGEN = 11.91</t>
  </si>
  <si>
    <t xml:space="preserve">GSNR = 23.34 | OSNR = 25.69 | MARGEN = 11.34 </t>
  </si>
  <si>
    <t>GSNR = 25.15 | OSNR = 27.20 | MARGEN = 13.15</t>
  </si>
  <si>
    <t xml:space="preserve">GSNR = 27.02 | OSNR = 27.50 | MARGEN = 15.02 </t>
  </si>
  <si>
    <t>GSNR = 27.01 | OSNR = 30.16 | MARGEN = 15.01</t>
  </si>
  <si>
    <t xml:space="preserve">GSNR = 22.27 | OSNR = 23.16 | MARGEN = 10.27 </t>
  </si>
  <si>
    <t>GSNR = 17.05 | OSNR = 18.36 | MARGEN = 5.05</t>
  </si>
  <si>
    <t xml:space="preserve">GSNR = 21.76 | OSNR = 22.12 | MARGEN = 9.76 </t>
  </si>
  <si>
    <t xml:space="preserve">GSNR = 22.67 | OSNR = 24.54 | MARGEN = 10.67 </t>
  </si>
  <si>
    <t xml:space="preserve">GSNR = 18.04 | OSNR = 19.25 | MARGEN = 6.04 </t>
  </si>
  <si>
    <t xml:space="preserve">GSNR = 16.48 | OSNR = 17.40 | MARGEN = 4.48 </t>
  </si>
  <si>
    <t xml:space="preserve">GSNR = 15.03 | OSNR = 16.62 | MARGEN = 3.03 </t>
  </si>
  <si>
    <t xml:space="preserve">GSNR = 16.52 | OSNR = 17.89 | MARGEN = 4.52 </t>
  </si>
  <si>
    <t>Smartoptics QSFP-DD TQD017-TUNC-SO</t>
  </si>
  <si>
    <t>GSNR = 21.13 | OSNR = 22.87 | MARGEN = 9.33</t>
  </si>
  <si>
    <t>GSNR = 17.09 | OSNR = 18.33 | MARGEN = 5.29</t>
  </si>
  <si>
    <t xml:space="preserve">GSNR = 15.76 | OSNR = 16.76 | MARGEN = 3.96 </t>
  </si>
  <si>
    <t>GSNR = 23.91 | OSNR = 25.40 | MARGEN = 12.11</t>
  </si>
  <si>
    <t xml:space="preserve">GSNR = 23.40 | OSNR = 25.52 | MARGEN = 11.60 </t>
  </si>
  <si>
    <t>GSNR = 25.15 | OSNR = 26.96 | MARGEN = 13.35</t>
  </si>
  <si>
    <t xml:space="preserve">GSNR = 26.83 | OSNR = 27.24 | MARGEN = 15.03 </t>
  </si>
  <si>
    <t>GSNR = 26.97 | OSNR = 29.70 | MARGEN = 15.17</t>
  </si>
  <si>
    <t xml:space="preserve">GSNR = 22.26 | OSNR = 23.07 | MARGEN = 10.46 </t>
  </si>
  <si>
    <t>GSNR = 17.12 | OSNR = 18.32 | MARGEN = 5.32</t>
  </si>
  <si>
    <t>GSNR = 21.72 | OSNR = 22.05 | MARGEN = 9.92</t>
  </si>
  <si>
    <t xml:space="preserve">GSNR = 22.71 | OSNR = 24.40 | MARGEN = 10.91 </t>
  </si>
  <si>
    <t xml:space="preserve">GSNR = 18.10 | OSNR = 19.21 | MARGEN = 6.30 </t>
  </si>
  <si>
    <t xml:space="preserve">GSNR = 16.53 | OSNR = 17.37 | MARGEN = 4.73 </t>
  </si>
  <si>
    <t xml:space="preserve">GSNR = 15.14 | OSNR = 16.59 | MARGEN = 3.34 </t>
  </si>
  <si>
    <t xml:space="preserve">GSNR = 16.60 | OSNR = 17.86 | MARGEN = 4.80 </t>
  </si>
  <si>
    <t>SOLO 100 Gbps</t>
  </si>
  <si>
    <t>HASTA 400 Gbps</t>
  </si>
  <si>
    <t>CAMINO PRINCIPAL</t>
  </si>
  <si>
    <t>CAMINO PUNTO A PUNTO</t>
  </si>
  <si>
    <t>CAMINO SECUNDARIO</t>
  </si>
  <si>
    <t>INICIO</t>
  </si>
  <si>
    <t>DESTINO</t>
  </si>
  <si>
    <t>DISTANCIA (Km)</t>
  </si>
  <si>
    <t>DISTANCIA ACUMULADA (Km)</t>
  </si>
  <si>
    <t>EQUIPO - EQUIPO</t>
  </si>
  <si>
    <t>Rio Gallegos</t>
  </si>
  <si>
    <t>Coy Aike</t>
  </si>
  <si>
    <t>ROADM - ILA</t>
  </si>
  <si>
    <t>Cañadon de las Vacas</t>
  </si>
  <si>
    <t>ILA - ILA</t>
  </si>
  <si>
    <t>Luis Piedrabuena</t>
  </si>
  <si>
    <t>ILA - ROADM</t>
  </si>
  <si>
    <t>Lago Posadas</t>
  </si>
  <si>
    <t>Puerto San Julian</t>
  </si>
  <si>
    <t>El Salado</t>
  </si>
  <si>
    <t>Tres Cerros</t>
  </si>
  <si>
    <t>Estancia La Calandria</t>
  </si>
  <si>
    <t>Jaramillo</t>
  </si>
  <si>
    <t>Caleta Olivia</t>
  </si>
  <si>
    <t>ROADM - ROADM</t>
  </si>
  <si>
    <t>Comodoro Rivadavia</t>
  </si>
  <si>
    <t>Astra</t>
  </si>
  <si>
    <t>Pampa Salamanca</t>
  </si>
  <si>
    <t>Garayalde</t>
  </si>
  <si>
    <t>Florentino Ameghino</t>
  </si>
  <si>
    <t>Rawson</t>
  </si>
  <si>
    <t>Trelew</t>
  </si>
  <si>
    <t>Puerto Madryn</t>
  </si>
  <si>
    <t>Arroyo Verde</t>
  </si>
  <si>
    <t>Sierra Grande</t>
  </si>
  <si>
    <t>Las Grutas</t>
  </si>
  <si>
    <t>San Antonio Oeste</t>
  </si>
  <si>
    <t>Nuevo Leon</t>
  </si>
  <si>
    <t>San Javier</t>
  </si>
  <si>
    <t>Viedma</t>
  </si>
  <si>
    <t>Stroeder</t>
  </si>
  <si>
    <t>Pedro Luro</t>
  </si>
  <si>
    <t>Teniente Origone</t>
  </si>
  <si>
    <t>Bahia Blanca</t>
  </si>
  <si>
    <t>DATA SHEETS</t>
  </si>
  <si>
    <t>TRANSCEIVER: Smartoptics QSFP-DD TQD013-TUNC-SO</t>
  </si>
  <si>
    <t>ROADM: D7000-ROADM-09T</t>
  </si>
  <si>
    <t>EDFA: DCP-F-A22</t>
  </si>
  <si>
    <t>TRANSCEIVER (Open ZR+)</t>
  </si>
  <si>
    <t>ROADM</t>
  </si>
  <si>
    <t>EDFA</t>
  </si>
  <si>
    <t>MUX/DEMUX</t>
  </si>
  <si>
    <t>FIBRA</t>
  </si>
  <si>
    <t>No linealidades</t>
  </si>
  <si>
    <t>MODULO COMPENSADOR</t>
  </si>
  <si>
    <t>Tx</t>
  </si>
  <si>
    <t>VOA ajustable</t>
  </si>
  <si>
    <t>- (0 a 19) dB</t>
  </si>
  <si>
    <t>Figura de Ruido(dB)</t>
  </si>
  <si>
    <t>Perdida de insercion de entrada maxima(dB)</t>
  </si>
  <si>
    <t>Atenuación 1 (dB/km)</t>
  </si>
  <si>
    <t>Dependen del tramo</t>
  </si>
  <si>
    <t>Cantidad de spans entre Tx y Rx</t>
  </si>
  <si>
    <t>Longitud (km)</t>
  </si>
  <si>
    <t>Potencia Minima (dBm)</t>
  </si>
  <si>
    <t>Ganancia del preamplificador(dB)</t>
  </si>
  <si>
    <t>Ganancia maxima del amplificador(dB)</t>
  </si>
  <si>
    <t>PMD maximo(ps/nm)</t>
  </si>
  <si>
    <t>0.5</t>
  </si>
  <si>
    <t>Atenuación 2 (dB/km)</t>
  </si>
  <si>
    <t>γ (Coef. de propagación no lineal  en (W.km)^-1)</t>
  </si>
  <si>
    <t>D.L (ps/nm)</t>
  </si>
  <si>
    <t>Potencia Maxima (dBm)</t>
  </si>
  <si>
    <t>Figura de Ruido preamplificador(dB)</t>
  </si>
  <si>
    <t>Potencia Maxima de Salida(dBm)</t>
  </si>
  <si>
    <t>Area efectiva para SMF (micrometro^2)</t>
  </si>
  <si>
    <t>|β2| (s^2/km)</t>
  </si>
  <si>
    <t>Dispersión Cromática (ps/(nm.km))</t>
  </si>
  <si>
    <t>OSNR inband (dB)</t>
  </si>
  <si>
    <t>Perdida de insercion de entrada(dB)</t>
  </si>
  <si>
    <t>Sensibilidad maxima de entrada (dBm)</t>
  </si>
  <si>
    <t>Indice no lineal (ñ)</t>
  </si>
  <si>
    <t>Número de canales en el enlace</t>
  </si>
  <si>
    <t>Pérdida de inserción</t>
  </si>
  <si>
    <t>7,2 dB</t>
  </si>
  <si>
    <t>OSNR out of band (dB)</t>
  </si>
  <si>
    <t>Potencia de saturacion(dBm)</t>
  </si>
  <si>
    <t>Dispersión Cromática (ps/(nm.km)) @ 1550nm</t>
  </si>
  <si>
    <t>Tasa de símbolos (Baudios)</t>
  </si>
  <si>
    <t>PMD (ps)</t>
  </si>
  <si>
    <t>Dispersion cromatica (ps/nm) (D*L)</t>
  </si>
  <si>
    <t>Ganancia optica Booster Amplifier (dB)</t>
  </si>
  <si>
    <t>λ0 (Dispersión cero)</t>
  </si>
  <si>
    <t>1300-1324 nm</t>
  </si>
  <si>
    <t>Ancho de banda del canal (Hz)</t>
  </si>
  <si>
    <t>B0</t>
  </si>
  <si>
    <t>Figura de Ruido booster(dB)</t>
  </si>
  <si>
    <t>Pendiente en λ0 (Dispersión cero) (ps/(nm^2.km))</t>
  </si>
  <si>
    <t>GSNR a 0,1nm (dB)</t>
  </si>
  <si>
    <t>Sensibilidad máxima entrada A/D</t>
  </si>
  <si>
    <t>Coeficiente PMD (ps/√km)</t>
  </si>
  <si>
    <t>Rx</t>
  </si>
  <si>
    <t>Sensibilidad maxima de entrada line(dBm)</t>
  </si>
  <si>
    <t>Sensibilidad (dBm)</t>
  </si>
  <si>
    <t>Potencia de salida line</t>
  </si>
  <si>
    <t>BER</t>
  </si>
  <si>
    <t>Potencia de salida A/D</t>
  </si>
  <si>
    <t>Z (Q)</t>
  </si>
  <si>
    <t>Rango de frecuencias (THz)</t>
  </si>
  <si>
    <t>191.35-196.1</t>
  </si>
  <si>
    <t>MOD (NRZ)</t>
  </si>
  <si>
    <t>Rango de longitudes de onda (nm)</t>
  </si>
  <si>
    <t>1528-1567.5</t>
  </si>
  <si>
    <t>B filtro (GHz)</t>
  </si>
  <si>
    <t>Potencia de saturación Booster (dBm)</t>
  </si>
  <si>
    <t>Required OSNR (dB) @ Prx (dBm)</t>
  </si>
  <si>
    <t>11.5 dB @ -20 dBm</t>
  </si>
  <si>
    <t>Potencia de saturación Preamplificador (dBm)</t>
  </si>
  <si>
    <t>son 48 canales pero solo 40 llevan potencia</t>
  </si>
  <si>
    <t>PRESUPUESTO DE POTENCIA</t>
  </si>
  <si>
    <t>FIGURA DE RUIDO (dB)</t>
  </si>
  <si>
    <t>OSNR CANAL (dB)</t>
  </si>
  <si>
    <t>OSNR CANAL EN VECES</t>
  </si>
  <si>
    <t>OSNR ACUMULADA EN VECES</t>
  </si>
  <si>
    <t>OSNR ACUMULADA (dB)</t>
  </si>
  <si>
    <t>1/GSNR_NL</t>
  </si>
  <si>
    <t>GSNR_NL EN VECES</t>
  </si>
  <si>
    <t>GSNR_NL (dB)</t>
  </si>
  <si>
    <t>GSNR_NL ACUMULADA EN VECES</t>
  </si>
  <si>
    <t>GSNR_NL ACUMULADA (dB)</t>
  </si>
  <si>
    <t>Tramo: Rio Gallegos - Bahía Blanca</t>
  </si>
  <si>
    <t>Distancia (Km)</t>
  </si>
  <si>
    <t>Atenuación por km</t>
  </si>
  <si>
    <t>Amplificación/Atenuación (dB)</t>
  </si>
  <si>
    <t>Potencia acumulada (dBm)</t>
  </si>
  <si>
    <t>100 Gbps</t>
  </si>
  <si>
    <t>B0 es el AB equivalente del ruido</t>
  </si>
  <si>
    <t>Transceiver + ROADM</t>
  </si>
  <si>
    <t>Transceiver</t>
  </si>
  <si>
    <t>Mux/Demux</t>
  </si>
  <si>
    <t>A/D - Line out (ROADM 2)</t>
  </si>
  <si>
    <t>VOA</t>
  </si>
  <si>
    <t xml:space="preserve">Amplificador Booster </t>
  </si>
  <si>
    <t>Fibra</t>
  </si>
  <si>
    <t>Agregado</t>
  </si>
  <si>
    <t>VOA (ROADM 1)</t>
  </si>
  <si>
    <t>Preamplificador (ROADM 1)</t>
  </si>
  <si>
    <t>Line in - A/D (ROADM 1)</t>
  </si>
  <si>
    <t>Amplificador Booster (ROADM 2)</t>
  </si>
  <si>
    <t xml:space="preserve">VOA </t>
  </si>
  <si>
    <t>Preamplificador</t>
  </si>
  <si>
    <t>Se cumple que GSNR &lt; OSNR</t>
  </si>
  <si>
    <t>ROADM + Transceiver</t>
  </si>
  <si>
    <t>Potencia requerida = -20dB</t>
  </si>
  <si>
    <t>-7.8 &gt; -20</t>
  </si>
  <si>
    <t>OSNR Requerida: 11.5 dB con una Prx de -20 dBm</t>
  </si>
  <si>
    <t>16.33003159 &gt; 11.5</t>
  </si>
  <si>
    <t>GSNR Requerida:  11 dB</t>
  </si>
  <si>
    <t>19.66972808 &gt; 11 dB</t>
  </si>
  <si>
    <t>No Linealidades</t>
  </si>
  <si>
    <t>Potencia de entrada a la fibra (dB)</t>
  </si>
  <si>
    <t>Longitud Efectiva</t>
  </si>
  <si>
    <t>Longitud No Lineal</t>
  </si>
  <si>
    <t>Coeficiente de atenuación de potencia (α [np/km])</t>
  </si>
  <si>
    <t>DISPERSIÓN CROMATICA</t>
  </si>
  <si>
    <t>@ 1550 nm</t>
  </si>
  <si>
    <t>@ 1528.77 nm (196.10 THz)</t>
  </si>
  <si>
    <t>@ 1547.72 nm (193.70 THz)</t>
  </si>
  <si>
    <t>@ 1566.31 nm (191.40 THz)</t>
  </si>
  <si>
    <t>D1 [ps/(nm.km)]</t>
  </si>
  <si>
    <t>D2 [ps/(nm.km)]</t>
  </si>
  <si>
    <t>D3 [ps/(nm.km)]</t>
  </si>
  <si>
    <t>D4 [ps/(nm.km)]</t>
  </si>
  <si>
    <t xml:space="preserve">INICIO </t>
  </si>
  <si>
    <t>DISPERSION TRAMO</t>
  </si>
  <si>
    <t>DISPERSION ACUMULADA (ps/nm)</t>
  </si>
  <si>
    <t>Compensación necesaria (ps/(nm.km))</t>
  </si>
  <si>
    <t>No necesitamos para ningun landa</t>
  </si>
  <si>
    <t>Diferencia positiva</t>
  </si>
  <si>
    <t>Fórmula para calcular el coeficiente de dispersión para otro landa</t>
  </si>
  <si>
    <t>Canal (ITU-T)</t>
  </si>
  <si>
    <t>Frecuencia (THz)</t>
  </si>
  <si>
    <t>Longitud de Onda (nm)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</si>
  <si>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</si>
  <si>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</si>
  <si>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</si>
  <si>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</si>
  <si>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</si>
  <si>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</si>
  <si>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</si>
  <si>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</si>
  <si>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</si>
  <si>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</si>
  <si>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</si>
  <si>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</si>
  <si>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</si>
  <si>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</si>
  <si>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</si>
  <si>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</si>
  <si>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</si>
  <si>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</si>
  <si>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</si>
  <si>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</si>
  <si>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</si>
  <si>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</si>
  <si>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</si>
  <si>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</si>
  <si>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</si>
  <si>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</si>
  <si>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</si>
  <si>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</si>
  <si>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</si>
  <si>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</si>
  <si>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</si>
  <si>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</si>
  <si>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</si>
  <si>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</si>
  <si>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</si>
  <si>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</si>
  <si>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</si>
  <si>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</si>
  <si>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</si>
  <si>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</si>
  <si>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</si>
  <si>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</si>
  <si>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</si>
  <si>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</si>
  <si>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</si>
  <si>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</si>
  <si>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</si>
  <si>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</si>
  <si>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CALCULO PMD</t>
  </si>
  <si>
    <t>RETARDO DIF DE GRUPO (ps)</t>
  </si>
  <si>
    <t>RETARDO DIF DE GRUPO TOTAL (ps)</t>
  </si>
  <si>
    <t>RIO GALLEGOS</t>
  </si>
  <si>
    <t xml:space="preserve">CALETA OLIVIA </t>
  </si>
  <si>
    <t xml:space="preserve">BAHÍA BLANCA </t>
  </si>
  <si>
    <t>NEUQUÉN</t>
  </si>
  <si>
    <t>SAN RAFAEL</t>
  </si>
  <si>
    <t>A El Condor</t>
  </si>
  <si>
    <t>A Gob. Mayer</t>
  </si>
  <si>
    <t>A Coy Aike</t>
  </si>
  <si>
    <t>A Jaramillo</t>
  </si>
  <si>
    <t>A Pico Truncado</t>
  </si>
  <si>
    <t>A Comodoro Rivadavia</t>
  </si>
  <si>
    <t>A Teniente Origone</t>
  </si>
  <si>
    <t>A Juan Cousté</t>
  </si>
  <si>
    <t>A Tres Arroyos</t>
  </si>
  <si>
    <t>A Arroyito</t>
  </si>
  <si>
    <t>A General Roca</t>
  </si>
  <si>
    <t>A Sargento Vidal</t>
  </si>
  <si>
    <t>A General Alvear</t>
  </si>
  <si>
    <t>A Rincón del Atuel</t>
  </si>
  <si>
    <t>A Santa Isabel</t>
  </si>
  <si>
    <t>1 G</t>
  </si>
  <si>
    <t>100 G</t>
  </si>
  <si>
    <t>100G</t>
  </si>
  <si>
    <t>10 G</t>
  </si>
  <si>
    <t>1G</t>
  </si>
  <si>
    <t>10G</t>
  </si>
  <si>
    <t>NO UTILIZADOS</t>
  </si>
  <si>
    <t>ZONA CENTRO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</si>
</sst>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E+00"/>
    <numFmt numFmtId="165" formatCode="0.000"/>
    <numFmt numFmtId="166" formatCode="#,##0.00000000000"/>
  </numFmts>
  <fonts count="2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color theme="1"/>
      <name val="Arial"/>
    </font>
    <font>
      <sz val="11.0"/>
      <color theme="1"/>
      <name val="Calibri"/>
    </font>
    <font>
      <sz val="10.0"/>
      <color theme="1"/>
      <name val="Calibri"/>
    </font>
    <font>
      <color theme="1"/>
      <name val="Calibri"/>
    </font>
    <font>
      <color theme="1"/>
      <name val="Arial"/>
    </font>
    <font>
      <u/>
      <color rgb="FF0000FF"/>
    </font>
    <font>
      <b/>
      <sz val="10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sz val="10.0"/>
      <color rgb="FF000000"/>
      <name val="Calibri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u/>
      <color rgb="FF0000FF"/>
      <name val="Arial"/>
    </font>
    <font>
      <b/>
      <sz val="12.0"/>
      <color theme="1"/>
      <name val="Calibri"/>
    </font>
    <font>
      <b/>
      <sz val="17.0"/>
      <color theme="1"/>
      <name val="Calibri"/>
    </font>
    <font>
      <b/>
      <u/>
      <color rgb="FF000000"/>
      <name val="Arial"/>
    </font>
    <font>
      <b/>
      <color rgb="FF000000"/>
      <name val="Arial"/>
    </font>
    <font>
      <b/>
      <sz val="11.0"/>
      <color theme="1"/>
      <name val="Arial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76A5AF"/>
        <bgColor rgb="FF76A5AF"/>
      </patternFill>
    </fill>
    <fill>
      <patternFill patternType="solid">
        <fgColor theme="0"/>
        <bgColor theme="0"/>
      </patternFill>
    </fill>
    <fill>
      <patternFill patternType="solid">
        <fgColor rgb="FFA2C4C9"/>
        <bgColor rgb="FFA2C4C9"/>
      </patternFill>
    </fill>
    <fill>
      <patternFill patternType="solid">
        <fgColor rgb="FFD9D9D9"/>
        <bgColor rgb="FFD9D9D9"/>
      </patternFill>
    </fill>
    <fill>
      <patternFill patternType="solid">
        <fgColor rgb="FF6AA84F"/>
        <bgColor rgb="FF6AA84F"/>
      </patternFill>
    </fill>
    <fill>
      <patternFill patternType="solid">
        <fgColor rgb="FFF9CB9C"/>
        <bgColor rgb="FFF9CB9C"/>
      </patternFill>
    </fill>
    <fill>
      <patternFill patternType="solid">
        <fgColor rgb="FF3C78D8"/>
        <bgColor rgb="FF3C78D8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45818E"/>
        <bgColor rgb="FF45818E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2" fillId="4" fontId="1" numFmtId="0" xfId="0" applyAlignment="1" applyBorder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0" fillId="6" fontId="2" numFmtId="0" xfId="0" applyAlignment="1" applyFill="1" applyFont="1">
      <alignment readingOrder="0"/>
    </xf>
    <xf borderId="3" fillId="7" fontId="2" numFmtId="0" xfId="0" applyAlignment="1" applyBorder="1" applyFill="1" applyFont="1">
      <alignment horizontal="center" readingOrder="0" vertical="center"/>
    </xf>
    <xf borderId="1" fillId="8" fontId="1" numFmtId="0" xfId="0" applyAlignment="1" applyBorder="1" applyFill="1" applyFont="1">
      <alignment horizontal="center" readingOrder="0"/>
    </xf>
    <xf borderId="1" fillId="8" fontId="2" numFmtId="0" xfId="0" applyAlignment="1" applyBorder="1" applyFont="1">
      <alignment horizontal="center" readingOrder="0"/>
    </xf>
    <xf borderId="0" fillId="6" fontId="2" numFmtId="0" xfId="0" applyAlignment="1" applyFont="1">
      <alignment horizontal="center"/>
    </xf>
    <xf borderId="4" fillId="0" fontId="3" numFmtId="0" xfId="0" applyBorder="1" applyFont="1"/>
    <xf borderId="1" fillId="9" fontId="1" numFmtId="0" xfId="0" applyAlignment="1" applyBorder="1" applyFill="1" applyFont="1">
      <alignment horizontal="center" readingOrder="0"/>
    </xf>
    <xf borderId="1" fillId="9" fontId="2" numFmtId="0" xfId="0" applyAlignment="1" applyBorder="1" applyFont="1">
      <alignment horizontal="center" readingOrder="0"/>
    </xf>
    <xf borderId="3" fillId="10" fontId="2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7" fontId="2" numFmtId="0" xfId="0" applyAlignment="1" applyBorder="1" applyFont="1">
      <alignment horizontal="center" readingOrder="0"/>
    </xf>
    <xf borderId="1" fillId="10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 readingOrder="0"/>
    </xf>
    <xf borderId="1" fillId="11" fontId="4" numFmtId="0" xfId="0" applyAlignment="1" applyBorder="1" applyFill="1" applyFont="1">
      <alignment horizontal="center" vertical="bottom"/>
    </xf>
    <xf borderId="1" fillId="11" fontId="4" numFmtId="0" xfId="0" applyAlignment="1" applyBorder="1" applyFont="1">
      <alignment horizontal="center" readingOrder="0" vertical="bottom"/>
    </xf>
    <xf borderId="1" fillId="6" fontId="5" numFmtId="0" xfId="0" applyAlignment="1" applyBorder="1" applyFont="1">
      <alignment horizontal="center" vertical="bottom"/>
    </xf>
    <xf borderId="1" fillId="6" fontId="6" numFmtId="0" xfId="0" applyAlignment="1" applyBorder="1" applyFont="1">
      <alignment horizontal="center" readingOrder="0" vertical="bottom"/>
    </xf>
    <xf borderId="1" fillId="6" fontId="7" numFmtId="0" xfId="0" applyAlignment="1" applyBorder="1" applyFont="1">
      <alignment horizontal="center"/>
    </xf>
    <xf borderId="1" fillId="6" fontId="8" numFmtId="0" xfId="0" applyAlignment="1" applyBorder="1" applyFont="1">
      <alignment horizontal="center" vertical="bottom"/>
    </xf>
    <xf borderId="1" fillId="6" fontId="7" numFmtId="0" xfId="0" applyAlignment="1" applyBorder="1" applyFont="1">
      <alignment horizontal="center" vertical="bottom"/>
    </xf>
    <xf borderId="1" fillId="6" fontId="6" numFmtId="0" xfId="0" applyAlignment="1" applyBorder="1" applyFont="1">
      <alignment horizontal="center" readingOrder="0"/>
    </xf>
    <xf borderId="3" fillId="6" fontId="8" numFmtId="0" xfId="0" applyAlignment="1" applyBorder="1" applyFont="1">
      <alignment horizontal="center" vertical="bottom"/>
    </xf>
    <xf borderId="3" fillId="6" fontId="7" numFmtId="0" xfId="0" applyAlignment="1" applyBorder="1" applyFont="1">
      <alignment horizontal="center" vertical="bottom"/>
    </xf>
    <xf borderId="3" fillId="6" fontId="7" numFmtId="0" xfId="0" applyAlignment="1" applyBorder="1" applyFont="1">
      <alignment horizontal="center"/>
    </xf>
    <xf borderId="5" fillId="6" fontId="2" numFmtId="0" xfId="0" applyAlignment="1" applyBorder="1" applyFont="1">
      <alignment horizontal="left"/>
    </xf>
    <xf borderId="5" fillId="6" fontId="8" numFmtId="0" xfId="0" applyAlignment="1" applyBorder="1" applyFont="1">
      <alignment horizontal="left" vertical="bottom"/>
    </xf>
    <xf borderId="5" fillId="0" fontId="2" numFmtId="0" xfId="0" applyAlignment="1" applyBorder="1" applyFont="1">
      <alignment horizontal="center"/>
    </xf>
    <xf borderId="0" fillId="6" fontId="8" numFmtId="0" xfId="0" applyAlignment="1" applyFont="1">
      <alignment readingOrder="0" vertical="bottom"/>
    </xf>
    <xf borderId="0" fillId="6" fontId="8" numFmtId="0" xfId="0" applyAlignment="1" applyFont="1">
      <alignment horizontal="right" vertical="bottom"/>
    </xf>
    <xf borderId="0" fillId="12" fontId="8" numFmtId="0" xfId="0" applyAlignment="1" applyFill="1" applyFont="1">
      <alignment vertical="bottom"/>
    </xf>
    <xf borderId="0" fillId="12" fontId="8" numFmtId="0" xfId="0" applyAlignment="1" applyFont="1">
      <alignment horizontal="right" vertical="bottom"/>
    </xf>
    <xf borderId="0" fillId="12" fontId="2" numFmtId="0" xfId="0" applyAlignment="1" applyFont="1">
      <alignment horizontal="center"/>
    </xf>
    <xf borderId="0" fillId="12" fontId="2" numFmtId="0" xfId="0" applyFont="1"/>
    <xf borderId="2" fillId="11" fontId="1" numFmtId="0" xfId="0" applyAlignment="1" applyBorder="1" applyFont="1">
      <alignment horizontal="center" readingOrder="0"/>
    </xf>
    <xf borderId="6" fillId="0" fontId="3" numFmtId="0" xfId="0" applyBorder="1" applyFont="1"/>
    <xf borderId="0" fillId="0" fontId="6" numFmtId="0" xfId="0" applyAlignment="1" applyFont="1">
      <alignment vertical="bottom"/>
    </xf>
    <xf borderId="0" fillId="0" fontId="6" numFmtId="0" xfId="0" applyFont="1"/>
    <xf borderId="2" fillId="0" fontId="9" numFmtId="0" xfId="0" applyAlignment="1" applyBorder="1" applyFont="1">
      <alignment readingOrder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6" fontId="10" numFmtId="0" xfId="0" applyAlignment="1" applyFont="1">
      <alignment horizontal="center" vertical="bottom"/>
    </xf>
    <xf borderId="2" fillId="11" fontId="10" numFmtId="0" xfId="0" applyAlignment="1" applyBorder="1" applyFont="1">
      <alignment horizontal="center" readingOrder="0" vertical="bottom"/>
    </xf>
    <xf borderId="2" fillId="11" fontId="10" numFmtId="0" xfId="0" applyAlignment="1" applyBorder="1" applyFont="1">
      <alignment horizontal="center" readingOrder="0"/>
    </xf>
    <xf borderId="2" fillId="11" fontId="11" numFmtId="0" xfId="0" applyAlignment="1" applyBorder="1" applyFont="1">
      <alignment horizontal="center" vertical="bottom"/>
    </xf>
    <xf borderId="0" fillId="6" fontId="5" numFmtId="0" xfId="0" applyAlignment="1" applyFont="1">
      <alignment vertical="bottom"/>
    </xf>
    <xf borderId="2" fillId="11" fontId="12" numFmtId="0" xfId="0" applyAlignment="1" applyBorder="1" applyFont="1">
      <alignment horizontal="center" readingOrder="0" vertical="bottom"/>
    </xf>
    <xf borderId="2" fillId="13" fontId="10" numFmtId="0" xfId="0" applyAlignment="1" applyBorder="1" applyFill="1" applyFont="1">
      <alignment horizontal="center" vertical="bottom"/>
    </xf>
    <xf borderId="1" fillId="6" fontId="5" numFmtId="0" xfId="0" applyAlignment="1" applyBorder="1" applyFont="1">
      <alignment horizontal="center" vertical="bottom"/>
    </xf>
    <xf borderId="1" fillId="6" fontId="5" numFmtId="0" xfId="0" applyAlignment="1" applyBorder="1" applyFont="1">
      <alignment horizontal="center" readingOrder="0"/>
    </xf>
    <xf borderId="1" fillId="6" fontId="5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center" readingOrder="0" shrinkToFit="0" vertical="center" wrapText="1"/>
    </xf>
    <xf borderId="1" fillId="6" fontId="13" numFmtId="0" xfId="0" applyAlignment="1" applyBorder="1" applyFont="1">
      <alignment horizontal="center" readingOrder="0" vertical="bottom"/>
    </xf>
    <xf borderId="1" fillId="0" fontId="2" numFmtId="11" xfId="0" applyBorder="1" applyFont="1" applyNumberFormat="1"/>
    <xf borderId="1" fillId="6" fontId="5" numFmtId="0" xfId="0" applyAlignment="1" applyBorder="1" applyFont="1">
      <alignment horizontal="right" vertical="bottom"/>
    </xf>
    <xf borderId="1" fillId="6" fontId="5" numFmtId="164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5" fillId="0" fontId="6" numFmtId="0" xfId="0" applyBorder="1" applyFont="1"/>
    <xf borderId="1" fillId="0" fontId="5" numFmtId="0" xfId="0" applyAlignment="1" applyBorder="1" applyFont="1">
      <alignment horizontal="center" vertical="bottom"/>
    </xf>
    <xf borderId="1" fillId="6" fontId="5" numFmtId="11" xfId="0" applyAlignment="1" applyBorder="1" applyFont="1" applyNumberFormat="1">
      <alignment horizontal="center" vertical="bottom"/>
    </xf>
    <xf borderId="1" fillId="6" fontId="6" numFmtId="0" xfId="0" applyAlignment="1" applyBorder="1" applyFont="1">
      <alignment horizontal="center" readingOrder="0" vertical="bottom"/>
    </xf>
    <xf borderId="1" fillId="6" fontId="6" numFmtId="11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/>
    </xf>
    <xf borderId="1" fillId="6" fontId="6" numFmtId="0" xfId="0" applyAlignment="1" applyBorder="1" applyFont="1">
      <alignment horizontal="center" vertical="bottom"/>
    </xf>
    <xf borderId="1" fillId="6" fontId="6" numFmtId="11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readingOrder="0"/>
    </xf>
    <xf borderId="1" fillId="0" fontId="5" numFmtId="165" xfId="0" applyAlignment="1" applyBorder="1" applyFont="1" applyNumberFormat="1">
      <alignment horizontal="center" readingOrder="0"/>
    </xf>
    <xf borderId="0" fillId="6" fontId="6" numFmtId="0" xfId="0" applyAlignment="1" applyFont="1">
      <alignment horizontal="center" vertical="bottom"/>
    </xf>
    <xf borderId="0" fillId="6" fontId="6" numFmtId="11" xfId="0" applyAlignment="1" applyFont="1" applyNumberFormat="1">
      <alignment horizontal="center" vertical="bottom"/>
    </xf>
    <xf borderId="0" fillId="0" fontId="6" numFmtId="0" xfId="0" applyAlignment="1" applyFont="1">
      <alignment horizontal="right" vertical="bottom"/>
    </xf>
    <xf borderId="0" fillId="6" fontId="8" numFmtId="0" xfId="0" applyAlignment="1" applyFont="1">
      <alignment vertical="bottom"/>
    </xf>
    <xf borderId="0" fillId="6" fontId="6" numFmtId="0" xfId="0" applyAlignment="1" applyFont="1">
      <alignment vertical="bottom"/>
    </xf>
    <xf borderId="0" fillId="6" fontId="2" numFmtId="0" xfId="0" applyFont="1"/>
    <xf borderId="1" fillId="14" fontId="1" numFmtId="0" xfId="0" applyAlignment="1" applyBorder="1" applyFill="1" applyFont="1">
      <alignment horizontal="center" readingOrder="0"/>
    </xf>
    <xf borderId="2" fillId="15" fontId="1" numFmtId="0" xfId="0" applyAlignment="1" applyBorder="1" applyFill="1" applyFont="1">
      <alignment horizontal="center" readingOrder="0"/>
    </xf>
    <xf borderId="7" fillId="0" fontId="3" numFmtId="0" xfId="0" applyBorder="1" applyFont="1"/>
    <xf borderId="1" fillId="11" fontId="1" numFmtId="0" xfId="0" applyAlignment="1" applyBorder="1" applyFont="1">
      <alignment horizontal="center" readingOrder="0"/>
    </xf>
    <xf borderId="1" fillId="6" fontId="8" numFmtId="0" xfId="0" applyAlignment="1" applyBorder="1" applyFont="1">
      <alignment vertical="bottom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7" fontId="11" numFmtId="0" xfId="0" applyAlignment="1" applyBorder="1" applyFont="1">
      <alignment horizontal="center" readingOrder="0" vertical="bottom"/>
    </xf>
    <xf borderId="1" fillId="7" fontId="11" numFmtId="0" xfId="0" applyAlignment="1" applyBorder="1" applyFont="1">
      <alignment horizontal="center" vertical="bottom"/>
    </xf>
    <xf borderId="1" fillId="11" fontId="2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1" fillId="14" fontId="8" numFmtId="0" xfId="0" applyAlignment="1" applyBorder="1" applyFont="1">
      <alignment horizontal="center" vertical="bottom"/>
    </xf>
    <xf borderId="1" fillId="14" fontId="14" numFmtId="0" xfId="0" applyAlignment="1" applyBorder="1" applyFont="1">
      <alignment horizontal="center" vertical="bottom"/>
    </xf>
    <xf borderId="1" fillId="14" fontId="2" numFmtId="0" xfId="0" applyAlignment="1" applyBorder="1" applyFont="1">
      <alignment horizontal="center"/>
    </xf>
    <xf borderId="1" fillId="16" fontId="4" numFmtId="0" xfId="0" applyAlignment="1" applyBorder="1" applyFill="1" applyFont="1">
      <alignment horizontal="center" readingOrder="0" vertical="bottom"/>
    </xf>
    <xf borderId="1" fillId="16" fontId="8" numFmtId="0" xfId="0" applyAlignment="1" applyBorder="1" applyFont="1">
      <alignment horizontal="center" readingOrder="0" vertical="bottom"/>
    </xf>
    <xf borderId="1" fillId="16" fontId="2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 vertical="bottom"/>
    </xf>
    <xf borderId="1" fillId="14" fontId="8" numFmtId="0" xfId="0" applyAlignment="1" applyBorder="1" applyFont="1">
      <alignment horizontal="center" readingOrder="0" vertical="bottom"/>
    </xf>
    <xf borderId="1" fillId="0" fontId="2" numFmtId="166" xfId="0" applyAlignment="1" applyBorder="1" applyFont="1" applyNumberFormat="1">
      <alignment horizontal="center" readingOrder="0"/>
    </xf>
    <xf borderId="1" fillId="6" fontId="8" numFmtId="0" xfId="0" applyAlignment="1" applyBorder="1" applyFont="1">
      <alignment horizontal="center" readingOrder="0" vertical="bottom"/>
    </xf>
    <xf borderId="1" fillId="14" fontId="2" numFmtId="166" xfId="0" applyAlignment="1" applyBorder="1" applyFont="1" applyNumberFormat="1">
      <alignment horizontal="center" readingOrder="0"/>
    </xf>
    <xf borderId="1" fillId="17" fontId="4" numFmtId="0" xfId="0" applyAlignment="1" applyBorder="1" applyFill="1" applyFont="1">
      <alignment horizontal="center" readingOrder="0" vertical="bottom"/>
    </xf>
    <xf borderId="1" fillId="17" fontId="8" numFmtId="0" xfId="0" applyAlignment="1" applyBorder="1" applyFont="1">
      <alignment horizontal="center" readingOrder="0" vertical="bottom"/>
    </xf>
    <xf borderId="1" fillId="17" fontId="2" numFmtId="0" xfId="0" applyAlignment="1" applyBorder="1" applyFont="1">
      <alignment horizontal="center"/>
    </xf>
    <xf borderId="1" fillId="17" fontId="2" numFmtId="166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vertical="bottom"/>
    </xf>
    <xf borderId="1" fillId="14" fontId="5" numFmtId="0" xfId="0" applyAlignment="1" applyBorder="1" applyFont="1">
      <alignment horizontal="center" vertical="bottom"/>
    </xf>
    <xf borderId="1" fillId="17" fontId="4" numFmtId="0" xfId="0" applyAlignment="1" applyBorder="1" applyFont="1">
      <alignment horizontal="center" vertical="bottom"/>
    </xf>
    <xf borderId="1" fillId="18" fontId="4" numFmtId="0" xfId="0" applyAlignment="1" applyBorder="1" applyFill="1" applyFont="1">
      <alignment horizontal="center" vertical="bottom"/>
    </xf>
    <xf borderId="1" fillId="18" fontId="8" numFmtId="0" xfId="0" applyAlignment="1" applyBorder="1" applyFont="1">
      <alignment horizontal="center" vertical="bottom"/>
    </xf>
    <xf borderId="1" fillId="18" fontId="2" numFmtId="0" xfId="0" applyAlignment="1" applyBorder="1" applyFont="1">
      <alignment horizontal="center"/>
    </xf>
    <xf borderId="1" fillId="18" fontId="2" numFmtId="166" xfId="0" applyAlignment="1" applyBorder="1" applyFont="1" applyNumberFormat="1">
      <alignment horizontal="center" readingOrder="0"/>
    </xf>
    <xf borderId="1" fillId="14" fontId="8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vertical="bottom"/>
    </xf>
    <xf borderId="1" fillId="14" fontId="2" numFmtId="0" xfId="0" applyAlignment="1" applyBorder="1" applyFont="1">
      <alignment horizontal="center" readingOrder="0"/>
    </xf>
    <xf borderId="1" fillId="18" fontId="15" numFmtId="0" xfId="0" applyAlignment="1" applyBorder="1" applyFont="1">
      <alignment horizontal="center" vertical="bottom"/>
    </xf>
    <xf borderId="1" fillId="17" fontId="1" numFmtId="0" xfId="0" applyAlignment="1" applyBorder="1" applyFont="1">
      <alignment horizontal="center"/>
    </xf>
    <xf borderId="1" fillId="14" fontId="8" numFmtId="0" xfId="0" applyAlignment="1" applyBorder="1" applyFont="1">
      <alignment vertical="bottom"/>
    </xf>
    <xf borderId="1" fillId="17" fontId="8" numFmtId="0" xfId="0" applyAlignment="1" applyBorder="1" applyFont="1">
      <alignment horizontal="center" vertical="bottom"/>
    </xf>
    <xf borderId="1" fillId="17" fontId="16" numFmtId="0" xfId="0" applyAlignment="1" applyBorder="1" applyFont="1">
      <alignment horizontal="center" vertical="bottom"/>
    </xf>
    <xf borderId="1" fillId="6" fontId="2" numFmtId="0" xfId="0" applyAlignment="1" applyBorder="1" applyFont="1">
      <alignment horizontal="center"/>
    </xf>
    <xf borderId="1" fillId="18" fontId="1" numFmtId="0" xfId="0" applyAlignment="1" applyBorder="1" applyFont="1">
      <alignment horizontal="center"/>
    </xf>
    <xf borderId="1" fillId="11" fontId="2" numFmtId="0" xfId="0" applyAlignment="1" applyBorder="1" applyFont="1">
      <alignment readingOrder="0"/>
    </xf>
    <xf borderId="1" fillId="13" fontId="2" numFmtId="0" xfId="0" applyBorder="1" applyFont="1"/>
    <xf borderId="2" fillId="11" fontId="2" numFmtId="0" xfId="0" applyAlignment="1" applyBorder="1" applyFont="1">
      <alignment readingOrder="0"/>
    </xf>
    <xf borderId="1" fillId="16" fontId="4" numFmtId="0" xfId="0" applyAlignment="1" applyBorder="1" applyFont="1">
      <alignment horizontal="center" vertical="bottom"/>
    </xf>
    <xf borderId="1" fillId="16" fontId="2" numFmtId="166" xfId="0" applyAlignment="1" applyBorder="1" applyFont="1" applyNumberFormat="1">
      <alignment horizontal="center" readingOrder="0"/>
    </xf>
    <xf borderId="1" fillId="0" fontId="17" numFmtId="0" xfId="0" applyAlignment="1" applyBorder="1" applyFont="1">
      <alignment horizontal="center" readingOrder="0" vertical="bottom"/>
    </xf>
    <xf borderId="1" fillId="0" fontId="18" numFmtId="0" xfId="0" applyAlignment="1" applyBorder="1" applyFont="1">
      <alignment horizontal="center" readingOrder="0" vertical="bottom"/>
    </xf>
    <xf borderId="2" fillId="6" fontId="11" numFmtId="0" xfId="0" applyAlignment="1" applyBorder="1" applyFont="1">
      <alignment horizontal="center" readingOrder="0" vertical="bottom"/>
    </xf>
    <xf borderId="7" fillId="19" fontId="11" numFmtId="0" xfId="0" applyAlignment="1" applyBorder="1" applyFill="1" applyFont="1">
      <alignment horizontal="center" readingOrder="0" vertical="bottom"/>
    </xf>
    <xf borderId="1" fillId="19" fontId="1" numFmtId="0" xfId="0" applyAlignment="1" applyBorder="1" applyFont="1">
      <alignment horizontal="center" readingOrder="0"/>
    </xf>
    <xf borderId="2" fillId="19" fontId="1" numFmtId="0" xfId="0" applyAlignment="1" applyBorder="1" applyFont="1">
      <alignment horizontal="center" readingOrder="0"/>
    </xf>
    <xf borderId="1" fillId="16" fontId="2" numFmtId="0" xfId="0" applyAlignment="1" applyBorder="1" applyFont="1">
      <alignment horizontal="center" readingOrder="0"/>
    </xf>
    <xf borderId="1" fillId="18" fontId="2" numFmtId="0" xfId="0" applyAlignment="1" applyBorder="1" applyFont="1">
      <alignment horizontal="center" readingOrder="0"/>
    </xf>
    <xf borderId="1" fillId="17" fontId="2" numFmtId="0" xfId="0" applyAlignment="1" applyBorder="1" applyFont="1">
      <alignment horizontal="center" readingOrder="0"/>
    </xf>
    <xf borderId="0" fillId="6" fontId="8" numFmtId="0" xfId="0" applyAlignment="1" applyFont="1">
      <alignment horizontal="center" vertical="bottom"/>
    </xf>
    <xf borderId="0" fillId="6" fontId="19" numFmtId="0" xfId="0" applyAlignment="1" applyFont="1">
      <alignment horizontal="right" vertical="bottom"/>
    </xf>
    <xf borderId="2" fillId="11" fontId="20" numFmtId="0" xfId="0" applyAlignment="1" applyBorder="1" applyFont="1">
      <alignment horizontal="center" vertical="bottom"/>
    </xf>
    <xf borderId="1" fillId="13" fontId="4" numFmtId="0" xfId="0" applyAlignment="1" applyBorder="1" applyFont="1">
      <alignment horizontal="center" vertical="bottom"/>
    </xf>
    <xf borderId="1" fillId="13" fontId="4" numFmtId="0" xfId="0" applyAlignment="1" applyBorder="1" applyFont="1">
      <alignment horizontal="center" readingOrder="0" vertical="bottom"/>
    </xf>
    <xf borderId="1" fillId="13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1" fillId="6" fontId="5" numFmtId="49" xfId="0" applyAlignment="1" applyBorder="1" applyFont="1" applyNumberFormat="1">
      <alignment horizontal="center" vertical="bottom"/>
    </xf>
    <xf borderId="2" fillId="11" fontId="5" numFmtId="0" xfId="0" applyAlignment="1" applyBorder="1" applyFont="1">
      <alignment horizontal="center" readingOrder="0" vertical="bottom"/>
    </xf>
    <xf borderId="1" fillId="13" fontId="5" numFmtId="0" xfId="0" applyAlignment="1" applyBorder="1" applyFont="1">
      <alignment horizontal="center" readingOrder="0" vertical="bottom"/>
    </xf>
    <xf borderId="0" fillId="6" fontId="21" numFmtId="0" xfId="0" applyAlignment="1" applyFont="1">
      <alignment horizontal="center" readingOrder="0" vertical="center"/>
    </xf>
    <xf borderId="8" fillId="11" fontId="21" numFmtId="0" xfId="0" applyAlignment="1" applyBorder="1" applyFon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8" fillId="0" fontId="3" numFmtId="0" xfId="0" applyBorder="1" applyFont="1"/>
    <xf borderId="9" fillId="13" fontId="11" numFmtId="0" xfId="0" applyAlignment="1" applyBorder="1" applyFont="1">
      <alignment horizontal="center" readingOrder="0"/>
    </xf>
    <xf borderId="10" fillId="0" fontId="3" numFmtId="0" xfId="0" applyBorder="1" applyFont="1"/>
    <xf borderId="5" fillId="13" fontId="1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11" fillId="0" fontId="3" numFmtId="0" xfId="0" applyBorder="1" applyFont="1"/>
    <xf borderId="1" fillId="20" fontId="11" numFmtId="0" xfId="0" applyAlignment="1" applyBorder="1" applyFill="1" applyFont="1">
      <alignment horizontal="center" readingOrder="0" vertical="bottom"/>
    </xf>
    <xf borderId="3" fillId="20" fontId="11" numFmtId="0" xfId="0" applyAlignment="1" applyBorder="1" applyFont="1">
      <alignment horizontal="center" readingOrder="0" vertical="bottom"/>
    </xf>
    <xf borderId="4" fillId="20" fontId="11" numFmtId="0" xfId="0" applyAlignment="1" applyBorder="1" applyFont="1">
      <alignment horizontal="center" readingOrder="0" vertical="bottom"/>
    </xf>
    <xf borderId="4" fillId="20" fontId="4" numFmtId="0" xfId="0" applyAlignment="1" applyBorder="1" applyFont="1">
      <alignment horizontal="center" vertical="bottom"/>
    </xf>
    <xf borderId="12" fillId="20" fontId="11" numFmtId="0" xfId="0" applyAlignment="1" applyBorder="1" applyFont="1">
      <alignment horizontal="center" readingOrder="0" vertical="bottom"/>
    </xf>
    <xf borderId="13" fillId="20" fontId="11" numFmtId="0" xfId="0" applyAlignment="1" applyBorder="1" applyFont="1">
      <alignment horizontal="center" readingOrder="0" vertical="bottom"/>
    </xf>
    <xf borderId="2" fillId="6" fontId="5" numFmtId="0" xfId="0" applyAlignment="1" applyBorder="1" applyFont="1">
      <alignment horizontal="center" vertical="bottom"/>
    </xf>
    <xf borderId="6" fillId="6" fontId="2" numFmtId="0" xfId="0" applyAlignment="1" applyBorder="1" applyFont="1">
      <alignment horizontal="center"/>
    </xf>
    <xf borderId="1" fillId="0" fontId="2" numFmtId="2" xfId="0" applyAlignment="1" applyBorder="1" applyFont="1" applyNumberFormat="1">
      <alignment horizontal="center"/>
    </xf>
    <xf borderId="9" fillId="6" fontId="5" numFmtId="0" xfId="0" applyAlignment="1" applyBorder="1" applyFont="1">
      <alignment horizontal="center" readingOrder="0" vertical="bottom"/>
    </xf>
    <xf borderId="10" fillId="6" fontId="2" numFmtId="0" xfId="0" applyAlignment="1" applyBorder="1" applyFont="1">
      <alignment horizontal="center"/>
    </xf>
    <xf borderId="2" fillId="21" fontId="11" numFmtId="0" xfId="0" applyAlignment="1" applyBorder="1" applyFill="1" applyFont="1">
      <alignment horizontal="center" vertical="bottom"/>
    </xf>
    <xf borderId="2" fillId="21" fontId="5" numFmtId="0" xfId="0" applyAlignment="1" applyBorder="1" applyFont="1">
      <alignment horizontal="center" vertical="bottom"/>
    </xf>
    <xf borderId="3" fillId="6" fontId="5" numFmtId="0" xfId="0" applyAlignment="1" applyBorder="1" applyFont="1">
      <alignment horizontal="right" vertical="bottom"/>
    </xf>
    <xf borderId="6" fillId="19" fontId="2" numFmtId="0" xfId="0" applyAlignment="1" applyBorder="1" applyFont="1">
      <alignment horizontal="center" readingOrder="0"/>
    </xf>
    <xf borderId="1" fillId="19" fontId="2" numFmtId="2" xfId="0" applyAlignment="1" applyBorder="1" applyFont="1" applyNumberFormat="1">
      <alignment horizontal="center" readingOrder="0"/>
    </xf>
    <xf borderId="1" fillId="19" fontId="2" numFmtId="0" xfId="0" applyAlignment="1" applyBorder="1" applyFont="1">
      <alignment horizontal="center" readingOrder="0"/>
    </xf>
    <xf borderId="3" fillId="19" fontId="1" numFmtId="0" xfId="0" applyAlignment="1" applyBorder="1" applyFont="1">
      <alignment horizontal="center" readingOrder="0" shrinkToFit="0" vertical="center" wrapText="1"/>
    </xf>
    <xf borderId="1" fillId="19" fontId="1" numFmtId="0" xfId="0" applyAlignment="1" applyBorder="1" applyFont="1">
      <alignment readingOrder="0"/>
    </xf>
    <xf borderId="1" fillId="11" fontId="22" numFmtId="0" xfId="0" applyAlignment="1" applyBorder="1" applyFont="1">
      <alignment horizontal="center" readingOrder="0" vertical="bottom"/>
    </xf>
    <xf borderId="1" fillId="11" fontId="23" numFmtId="0" xfId="0" applyAlignment="1" applyBorder="1" applyFont="1">
      <alignment horizontal="center" vertical="bottom"/>
    </xf>
    <xf borderId="2" fillId="11" fontId="24" numFmtId="0" xfId="0" applyAlignment="1" applyBorder="1" applyFont="1">
      <alignment horizontal="center" readingOrder="0"/>
    </xf>
    <xf borderId="1" fillId="13" fontId="11" numFmtId="0" xfId="0" applyAlignment="1" applyBorder="1" applyFont="1">
      <alignment horizontal="center" readingOrder="0" vertical="bottom"/>
    </xf>
    <xf borderId="1" fillId="13" fontId="1" numFmtId="0" xfId="0" applyAlignment="1" applyBorder="1" applyFont="1">
      <alignment horizontal="center" readingOrder="0"/>
    </xf>
    <xf borderId="1" fillId="6" fontId="7" numFmtId="0" xfId="0" applyAlignment="1" applyBorder="1" applyFont="1">
      <alignment horizontal="center" readingOrder="0" vertical="bottom"/>
    </xf>
    <xf borderId="1" fillId="19" fontId="2" numFmtId="0" xfId="0" applyBorder="1" applyFont="1"/>
    <xf borderId="2" fillId="22" fontId="24" numFmtId="0" xfId="0" applyAlignment="1" applyBorder="1" applyFill="1" applyFont="1">
      <alignment horizontal="center" readingOrder="0"/>
    </xf>
    <xf borderId="2" fillId="22" fontId="1" numFmtId="0" xfId="0" applyAlignment="1" applyBorder="1" applyFont="1">
      <alignment horizontal="center" readingOrder="0"/>
    </xf>
    <xf borderId="0" fillId="22" fontId="1" numFmtId="0" xfId="0" applyAlignment="1" applyFont="1">
      <alignment horizontal="center" readingOrder="0"/>
    </xf>
    <xf borderId="0" fillId="6" fontId="1" numFmtId="0" xfId="0" applyAlignment="1" applyFont="1">
      <alignment horizontal="center" readingOrder="0"/>
    </xf>
    <xf borderId="1" fillId="20" fontId="1" numFmtId="0" xfId="0" applyAlignment="1" applyBorder="1" applyFont="1">
      <alignment horizontal="center" readingOrder="0"/>
    </xf>
    <xf borderId="2" fillId="20" fontId="1" numFmtId="0" xfId="0" applyAlignment="1" applyBorder="1" applyFont="1">
      <alignment horizontal="center" readingOrder="0"/>
    </xf>
    <xf borderId="8" fillId="6" fontId="1" numFmtId="0" xfId="0" applyAlignment="1" applyBorder="1" applyFont="1">
      <alignment horizontal="center" readingOrder="0"/>
    </xf>
    <xf borderId="1" fillId="23" fontId="8" numFmtId="0" xfId="0" applyAlignment="1" applyBorder="1" applyFill="1" applyFont="1">
      <alignment horizontal="center" vertical="bottom"/>
    </xf>
    <xf borderId="1" fillId="23" fontId="2" numFmtId="0" xfId="0" applyBorder="1" applyFont="1"/>
    <xf borderId="2" fillId="23" fontId="2" numFmtId="0" xfId="0" applyBorder="1" applyFont="1"/>
    <xf borderId="8" fillId="6" fontId="2" numFmtId="0" xfId="0" applyBorder="1" applyFont="1"/>
    <xf borderId="1" fillId="6" fontId="2" numFmtId="0" xfId="0" applyAlignment="1" applyBorder="1" applyFont="1">
      <alignment horizontal="center" readingOrder="0"/>
    </xf>
    <xf borderId="2" fillId="0" fontId="2" numFmtId="0" xfId="0" applyBorder="1" applyFont="1"/>
    <xf borderId="1" fillId="6" fontId="2" numFmtId="0" xfId="0" applyBorder="1" applyFont="1"/>
    <xf borderId="1" fillId="24" fontId="2" numFmtId="0" xfId="0" applyAlignment="1" applyBorder="1" applyFill="1" applyFont="1">
      <alignment horizontal="center" readingOrder="0"/>
    </xf>
    <xf borderId="2" fillId="6" fontId="2" numFmtId="0" xfId="0" applyBorder="1" applyFont="1"/>
    <xf borderId="1" fillId="24" fontId="8" numFmtId="0" xfId="0" applyAlignment="1" applyBorder="1" applyFont="1">
      <alignment horizontal="center" vertical="bottom"/>
    </xf>
    <xf borderId="1" fillId="25" fontId="2" numFmtId="0" xfId="0" applyBorder="1" applyFill="1" applyFont="1"/>
    <xf borderId="1" fillId="0" fontId="8" numFmtId="0" xfId="0" applyAlignment="1" applyBorder="1" applyFont="1">
      <alignment vertical="bottom"/>
    </xf>
    <xf borderId="8" fillId="6" fontId="2" numFmtId="0" xfId="0" applyAlignment="1" applyBorder="1" applyFont="1">
      <alignment horizontal="center" readingOrder="0"/>
    </xf>
    <xf borderId="1" fillId="24" fontId="8" numFmtId="0" xfId="0" applyAlignment="1" applyBorder="1" applyFont="1">
      <alignment horizontal="center" vertical="bottom"/>
    </xf>
    <xf borderId="8" fillId="6" fontId="2" numFmtId="0" xfId="0" applyAlignment="1" applyBorder="1" applyFont="1">
      <alignment horizontal="center"/>
    </xf>
    <xf borderId="0" fillId="0" fontId="8" numFmtId="0" xfId="0" applyAlignment="1" applyFont="1">
      <alignment vertical="bottom"/>
    </xf>
    <xf borderId="2" fillId="6" fontId="2" numFmtId="0" xfId="0" applyAlignment="1" applyBorder="1" applyFont="1">
      <alignment horizontal="center" readingOrder="0"/>
    </xf>
    <xf borderId="1" fillId="5" fontId="8" numFmtId="0" xfId="0" applyAlignment="1" applyBorder="1" applyFont="1">
      <alignment horizontal="center" vertical="bottom"/>
    </xf>
    <xf borderId="1" fillId="5" fontId="8" numFmtId="0" xfId="0" applyAlignment="1" applyBorder="1" applyFont="1">
      <alignment horizontal="center" vertical="bottom"/>
    </xf>
    <xf borderId="2" fillId="6" fontId="2" numFmtId="0" xfId="0" applyAlignment="1" applyBorder="1" applyFont="1">
      <alignment horizontal="center"/>
    </xf>
    <xf borderId="1" fillId="26" fontId="8" numFmtId="0" xfId="0" applyAlignment="1" applyBorder="1" applyFill="1" applyFont="1">
      <alignment horizontal="center" vertical="bottom"/>
    </xf>
    <xf borderId="1" fillId="26" fontId="2" numFmtId="0" xfId="0" applyAlignment="1" applyBorder="1" applyFont="1">
      <alignment horizontal="center" readingOrder="0"/>
    </xf>
    <xf borderId="1" fillId="23" fontId="2" numFmtId="0" xfId="0" applyAlignment="1" applyBorder="1" applyFont="1">
      <alignment horizontal="center" readingOrder="0"/>
    </xf>
    <xf borderId="1" fillId="25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17</xdr:row>
      <xdr:rowOff>0</xdr:rowOff>
    </xdr:from>
    <xdr:ext cx="4876800" cy="66008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952500</xdr:colOff>
      <xdr:row>3</xdr:row>
      <xdr:rowOff>190500</xdr:rowOff>
    </xdr:from>
    <xdr:ext cx="7219950" cy="22669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962025</xdr:colOff>
      <xdr:row>20</xdr:row>
      <xdr:rowOff>-838200</xdr:rowOff>
    </xdr:from>
    <xdr:ext cx="5781675" cy="78390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19</xdr:row>
      <xdr:rowOff>0</xdr:rowOff>
    </xdr:from>
    <xdr:ext cx="4876800" cy="31908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8</xdr:row>
      <xdr:rowOff>0</xdr:rowOff>
    </xdr:from>
    <xdr:ext cx="5981700" cy="197167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18</xdr:row>
      <xdr:rowOff>219075</xdr:rowOff>
    </xdr:from>
    <xdr:ext cx="6086475" cy="1914525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1419225</xdr:colOff>
      <xdr:row>39</xdr:row>
      <xdr:rowOff>200025</xdr:rowOff>
    </xdr:from>
    <xdr:ext cx="5838825" cy="2028825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1419225</xdr:colOff>
      <xdr:row>51</xdr:row>
      <xdr:rowOff>9525</xdr:rowOff>
    </xdr:from>
    <xdr:ext cx="5905500" cy="406717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lambrese/refefo_zona_sur/blob/main/DATA_SHEET_TRANSCEIVER_Smartoptics_QSFP-DD_TQD013-TUNC-SO.pdf" TargetMode="External"/><Relationship Id="rId2" Type="http://schemas.openxmlformats.org/officeDocument/2006/relationships/hyperlink" Target="https://github.com/lambrese/refefo_zona_sur/blob/main/fs-d7000-series-data-sheet.pdf" TargetMode="External"/><Relationship Id="rId3" Type="http://schemas.openxmlformats.org/officeDocument/2006/relationships/hyperlink" Target="https://github.com/lambrese/refefo_zona_sur/blob/main/so-ds-dcp-f-a22-r1.3.pdf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beroptics4sale.com/blogs/itu-standards/100434502-itu-c-band-50-ghz-100-ghz-dwdm-grid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beroptics4sale.com/blogs/itu-standards/100434502-itu-c-band-50-ghz-100-ghz-dwdm-grid" TargetMode="External"/><Relationship Id="rId2" Type="http://schemas.openxmlformats.org/officeDocument/2006/relationships/hyperlink" Target="https://www.fiberoptics4sale.com/blogs/itu-standards/100434502-itu-c-band-50-ghz-100-ghz-dwdm-grid" TargetMode="External"/><Relationship Id="rId3" Type="http://schemas.openxmlformats.org/officeDocument/2006/relationships/hyperlink" Target="https://www.fiberoptics4sale.com/blogs/itu-standards/100434502-itu-c-band-50-ghz-100-ghz-dwdm-grid" TargetMode="External"/><Relationship Id="rId4" Type="http://schemas.openxmlformats.org/officeDocument/2006/relationships/hyperlink" Target="https://www.fiberoptics4sale.com/blogs/itu-standards/100434502-itu-c-band-50-ghz-100-ghz-dwdm-grid" TargetMode="External"/><Relationship Id="rId5" Type="http://schemas.openxmlformats.org/officeDocument/2006/relationships/hyperlink" Target="https://www.fiberoptics4sale.com/blogs/itu-standards/100434502-itu-c-band-50-ghz-100-ghz-dwdm-grid" TargetMode="External"/><Relationship Id="rId6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  <col customWidth="1" min="2" max="2" width="19.0"/>
    <col customWidth="1" min="3" max="3" width="42.25"/>
    <col customWidth="1" min="4" max="4" width="43.75"/>
    <col customWidth="1" min="5" max="5" width="45.75"/>
    <col customWidth="1" min="6" max="6" width="48.13"/>
    <col customWidth="1" min="7" max="7" width="43.75"/>
    <col customWidth="1" min="8" max="8" width="47.13"/>
    <col customWidth="1" min="9" max="9" width="44.38"/>
    <col customWidth="1" min="10" max="10" width="42.88"/>
    <col customWidth="1" min="11" max="11" width="42.13"/>
    <col customWidth="1" min="12" max="12" width="39.63"/>
    <col customWidth="1" min="13" max="13" width="40.0"/>
    <col customWidth="1" min="14" max="14" width="41.13"/>
    <col customWidth="1" min="15" max="15" width="39.13"/>
    <col customWidth="1" min="16" max="16" width="38.38"/>
    <col customWidth="1" min="17" max="17" width="38.63"/>
    <col customWidth="1" min="18" max="18" width="38.88"/>
    <col customWidth="1" min="19" max="19" width="17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2</v>
      </c>
      <c r="L1" s="3" t="s">
        <v>10</v>
      </c>
      <c r="M1" s="3" t="s">
        <v>11</v>
      </c>
      <c r="N1" s="3" t="s">
        <v>12</v>
      </c>
      <c r="O1" s="4" t="s">
        <v>13</v>
      </c>
      <c r="P1" s="3" t="s">
        <v>14</v>
      </c>
      <c r="Q1" s="5" t="s">
        <v>15</v>
      </c>
      <c r="R1" s="5" t="s">
        <v>16</v>
      </c>
      <c r="S1" s="6"/>
    </row>
    <row r="2">
      <c r="A2" s="7" t="s">
        <v>17</v>
      </c>
      <c r="B2" s="8" t="s">
        <v>18</v>
      </c>
      <c r="C2" s="9" t="s">
        <v>19</v>
      </c>
      <c r="D2" s="9" t="s">
        <v>20</v>
      </c>
      <c r="E2" s="9" t="s">
        <v>21</v>
      </c>
      <c r="F2" s="9" t="s">
        <v>22</v>
      </c>
      <c r="G2" s="9" t="s">
        <v>23</v>
      </c>
      <c r="H2" s="9" t="s">
        <v>24</v>
      </c>
      <c r="I2" s="9" t="s">
        <v>25</v>
      </c>
      <c r="J2" s="9" t="s">
        <v>26</v>
      </c>
      <c r="K2" s="9" t="s">
        <v>27</v>
      </c>
      <c r="L2" s="9" t="s">
        <v>28</v>
      </c>
      <c r="M2" s="9" t="s">
        <v>29</v>
      </c>
      <c r="N2" s="9" t="s">
        <v>30</v>
      </c>
      <c r="O2" s="9" t="s">
        <v>31</v>
      </c>
      <c r="P2" s="9" t="s">
        <v>32</v>
      </c>
      <c r="Q2" s="9" t="s">
        <v>33</v>
      </c>
      <c r="R2" s="9" t="s">
        <v>34</v>
      </c>
      <c r="S2" s="10"/>
    </row>
    <row r="3">
      <c r="A3" s="11"/>
      <c r="B3" s="12" t="s">
        <v>35</v>
      </c>
      <c r="C3" s="13" t="s">
        <v>19</v>
      </c>
      <c r="D3" s="13" t="s">
        <v>20</v>
      </c>
      <c r="E3" s="13" t="s">
        <v>21</v>
      </c>
      <c r="F3" s="13" t="s">
        <v>22</v>
      </c>
      <c r="G3" s="13" t="s">
        <v>23</v>
      </c>
      <c r="H3" s="13" t="s">
        <v>24</v>
      </c>
      <c r="I3" s="13" t="s">
        <v>25</v>
      </c>
      <c r="J3" s="13" t="s">
        <v>26</v>
      </c>
      <c r="K3" s="13" t="s">
        <v>27</v>
      </c>
      <c r="L3" s="13" t="s">
        <v>28</v>
      </c>
      <c r="M3" s="13" t="s">
        <v>29</v>
      </c>
      <c r="N3" s="13" t="s">
        <v>30</v>
      </c>
      <c r="O3" s="13" t="s">
        <v>31</v>
      </c>
      <c r="P3" s="13" t="s">
        <v>32</v>
      </c>
      <c r="Q3" s="13" t="s">
        <v>33</v>
      </c>
      <c r="R3" s="13" t="s">
        <v>34</v>
      </c>
    </row>
    <row r="4">
      <c r="A4" s="7" t="s">
        <v>36</v>
      </c>
      <c r="B4" s="8" t="s">
        <v>37</v>
      </c>
      <c r="C4" s="9" t="s">
        <v>38</v>
      </c>
      <c r="D4" s="9" t="s">
        <v>39</v>
      </c>
      <c r="E4" s="9" t="s">
        <v>40</v>
      </c>
      <c r="F4" s="9" t="s">
        <v>41</v>
      </c>
      <c r="G4" s="9" t="s">
        <v>42</v>
      </c>
      <c r="H4" s="9" t="s">
        <v>43</v>
      </c>
      <c r="I4" s="9" t="s">
        <v>44</v>
      </c>
      <c r="J4" s="9" t="s">
        <v>45</v>
      </c>
      <c r="K4" s="9" t="s">
        <v>46</v>
      </c>
      <c r="L4" s="9" t="s">
        <v>47</v>
      </c>
      <c r="M4" s="9" t="s">
        <v>48</v>
      </c>
      <c r="N4" s="9" t="s">
        <v>49</v>
      </c>
      <c r="O4" s="9" t="s">
        <v>50</v>
      </c>
      <c r="P4" s="9" t="s">
        <v>51</v>
      </c>
      <c r="Q4" s="9" t="s">
        <v>52</v>
      </c>
      <c r="R4" s="9" t="s">
        <v>53</v>
      </c>
    </row>
    <row r="5">
      <c r="A5" s="11"/>
      <c r="B5" s="12" t="s">
        <v>54</v>
      </c>
      <c r="C5" s="13" t="s">
        <v>38</v>
      </c>
      <c r="D5" s="13" t="s">
        <v>39</v>
      </c>
      <c r="E5" s="13" t="s">
        <v>40</v>
      </c>
      <c r="F5" s="13" t="s">
        <v>41</v>
      </c>
      <c r="G5" s="13" t="s">
        <v>42</v>
      </c>
      <c r="H5" s="13" t="s">
        <v>43</v>
      </c>
      <c r="I5" s="13" t="s">
        <v>44</v>
      </c>
      <c r="J5" s="13" t="s">
        <v>45</v>
      </c>
      <c r="K5" s="13" t="s">
        <v>46</v>
      </c>
      <c r="L5" s="13" t="s">
        <v>47</v>
      </c>
      <c r="M5" s="13" t="s">
        <v>48</v>
      </c>
      <c r="N5" s="13" t="s">
        <v>49</v>
      </c>
      <c r="O5" s="13" t="s">
        <v>50</v>
      </c>
      <c r="P5" s="13" t="s">
        <v>51</v>
      </c>
      <c r="Q5" s="13" t="s">
        <v>52</v>
      </c>
      <c r="R5" s="13" t="s">
        <v>53</v>
      </c>
    </row>
    <row r="6">
      <c r="A6" s="14" t="s">
        <v>55</v>
      </c>
      <c r="B6" s="8" t="s">
        <v>37</v>
      </c>
      <c r="C6" s="9" t="s">
        <v>56</v>
      </c>
      <c r="D6" s="9" t="s">
        <v>57</v>
      </c>
      <c r="E6" s="9" t="s">
        <v>58</v>
      </c>
      <c r="F6" s="9" t="s">
        <v>59</v>
      </c>
      <c r="G6" s="9" t="s">
        <v>60</v>
      </c>
      <c r="H6" s="9" t="s">
        <v>61</v>
      </c>
      <c r="I6" s="9" t="s">
        <v>62</v>
      </c>
      <c r="J6" s="9" t="s">
        <v>63</v>
      </c>
      <c r="K6" s="9" t="s">
        <v>64</v>
      </c>
      <c r="L6" s="9" t="s">
        <v>65</v>
      </c>
      <c r="M6" s="9" t="s">
        <v>66</v>
      </c>
      <c r="N6" s="9" t="s">
        <v>67</v>
      </c>
      <c r="O6" s="9" t="s">
        <v>68</v>
      </c>
      <c r="P6" s="9" t="s">
        <v>69</v>
      </c>
      <c r="Q6" s="9" t="s">
        <v>70</v>
      </c>
      <c r="R6" s="9" t="s">
        <v>71</v>
      </c>
    </row>
    <row r="7">
      <c r="A7" s="11"/>
      <c r="B7" s="12" t="s">
        <v>54</v>
      </c>
      <c r="C7" s="13" t="s">
        <v>56</v>
      </c>
      <c r="D7" s="13" t="s">
        <v>57</v>
      </c>
      <c r="E7" s="13" t="s">
        <v>58</v>
      </c>
      <c r="F7" s="13" t="s">
        <v>59</v>
      </c>
      <c r="G7" s="13" t="s">
        <v>60</v>
      </c>
      <c r="H7" s="13" t="s">
        <v>61</v>
      </c>
      <c r="I7" s="13" t="s">
        <v>62</v>
      </c>
      <c r="J7" s="13" t="s">
        <v>63</v>
      </c>
      <c r="K7" s="13" t="s">
        <v>64</v>
      </c>
      <c r="L7" s="13" t="s">
        <v>65</v>
      </c>
      <c r="M7" s="13" t="s">
        <v>66</v>
      </c>
      <c r="N7" s="13" t="s">
        <v>67</v>
      </c>
      <c r="O7" s="13" t="s">
        <v>68</v>
      </c>
      <c r="P7" s="13" t="s">
        <v>69</v>
      </c>
      <c r="Q7" s="13" t="s">
        <v>70</v>
      </c>
      <c r="R7" s="13" t="s">
        <v>71</v>
      </c>
    </row>
    <row r="8">
      <c r="A8" s="14" t="s">
        <v>72</v>
      </c>
      <c r="B8" s="8" t="s">
        <v>37</v>
      </c>
      <c r="C8" s="9" t="s">
        <v>73</v>
      </c>
      <c r="D8" s="9" t="s">
        <v>74</v>
      </c>
      <c r="E8" s="9" t="s">
        <v>75</v>
      </c>
      <c r="F8" s="9" t="s">
        <v>76</v>
      </c>
      <c r="G8" s="9" t="s">
        <v>77</v>
      </c>
      <c r="H8" s="9" t="s">
        <v>78</v>
      </c>
      <c r="I8" s="9" t="s">
        <v>79</v>
      </c>
      <c r="J8" s="9" t="s">
        <v>80</v>
      </c>
      <c r="K8" s="9" t="s">
        <v>81</v>
      </c>
      <c r="L8" s="9" t="s">
        <v>82</v>
      </c>
      <c r="M8" s="9" t="s">
        <v>83</v>
      </c>
      <c r="N8" s="9" t="s">
        <v>84</v>
      </c>
      <c r="O8" s="9" t="s">
        <v>85</v>
      </c>
      <c r="P8" s="9" t="s">
        <v>86</v>
      </c>
      <c r="Q8" s="9" t="s">
        <v>87</v>
      </c>
      <c r="R8" s="9" t="s">
        <v>88</v>
      </c>
    </row>
    <row r="9">
      <c r="A9" s="11"/>
      <c r="B9" s="12" t="s">
        <v>54</v>
      </c>
      <c r="C9" s="13" t="s">
        <v>73</v>
      </c>
      <c r="D9" s="13" t="s">
        <v>74</v>
      </c>
      <c r="E9" s="13" t="s">
        <v>75</v>
      </c>
      <c r="F9" s="13" t="s">
        <v>76</v>
      </c>
      <c r="G9" s="13" t="s">
        <v>77</v>
      </c>
      <c r="H9" s="13" t="s">
        <v>78</v>
      </c>
      <c r="I9" s="13" t="s">
        <v>79</v>
      </c>
      <c r="J9" s="13" t="s">
        <v>80</v>
      </c>
      <c r="K9" s="13" t="s">
        <v>81</v>
      </c>
      <c r="L9" s="13" t="s">
        <v>82</v>
      </c>
      <c r="M9" s="13" t="s">
        <v>83</v>
      </c>
      <c r="N9" s="13" t="s">
        <v>84</v>
      </c>
      <c r="O9" s="13" t="s">
        <v>85</v>
      </c>
      <c r="P9" s="13" t="s">
        <v>86</v>
      </c>
      <c r="Q9" s="13" t="s">
        <v>87</v>
      </c>
      <c r="R9" s="13" t="s">
        <v>88</v>
      </c>
    </row>
    <row r="10">
      <c r="A10" s="14" t="s">
        <v>89</v>
      </c>
      <c r="B10" s="8" t="s">
        <v>37</v>
      </c>
      <c r="C10" s="9" t="s">
        <v>90</v>
      </c>
      <c r="D10" s="9" t="s">
        <v>91</v>
      </c>
      <c r="E10" s="9" t="s">
        <v>92</v>
      </c>
      <c r="F10" s="9" t="s">
        <v>93</v>
      </c>
      <c r="G10" s="9" t="s">
        <v>94</v>
      </c>
      <c r="H10" s="9" t="s">
        <v>95</v>
      </c>
      <c r="I10" s="9" t="s">
        <v>96</v>
      </c>
      <c r="J10" s="9" t="s">
        <v>97</v>
      </c>
      <c r="K10" s="9" t="s">
        <v>98</v>
      </c>
      <c r="L10" s="9" t="s">
        <v>99</v>
      </c>
      <c r="M10" s="9" t="s">
        <v>100</v>
      </c>
      <c r="N10" s="9" t="s">
        <v>101</v>
      </c>
      <c r="O10" s="9" t="s">
        <v>102</v>
      </c>
      <c r="P10" s="9" t="s">
        <v>103</v>
      </c>
      <c r="Q10" s="9" t="s">
        <v>104</v>
      </c>
      <c r="R10" s="9" t="s">
        <v>105</v>
      </c>
    </row>
    <row r="11">
      <c r="A11" s="11"/>
      <c r="B11" s="12" t="s">
        <v>54</v>
      </c>
      <c r="C11" s="13" t="s">
        <v>90</v>
      </c>
      <c r="D11" s="13" t="s">
        <v>91</v>
      </c>
      <c r="E11" s="13" t="s">
        <v>92</v>
      </c>
      <c r="F11" s="13" t="s">
        <v>93</v>
      </c>
      <c r="G11" s="13" t="s">
        <v>94</v>
      </c>
      <c r="H11" s="13" t="s">
        <v>95</v>
      </c>
      <c r="I11" s="13" t="s">
        <v>96</v>
      </c>
      <c r="J11" s="13" t="s">
        <v>97</v>
      </c>
      <c r="K11" s="13" t="s">
        <v>98</v>
      </c>
      <c r="L11" s="13" t="s">
        <v>99</v>
      </c>
      <c r="M11" s="13" t="s">
        <v>100</v>
      </c>
      <c r="N11" s="13" t="s">
        <v>101</v>
      </c>
      <c r="O11" s="13" t="s">
        <v>102</v>
      </c>
      <c r="P11" s="13" t="s">
        <v>103</v>
      </c>
      <c r="Q11" s="13" t="s">
        <v>104</v>
      </c>
      <c r="R11" s="13" t="s">
        <v>105</v>
      </c>
    </row>
    <row r="12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</row>
    <row r="15">
      <c r="A15" s="17" t="s">
        <v>106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>
      <c r="A16" s="18" t="s">
        <v>107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</row>
    <row r="17">
      <c r="A17" s="19" t="s">
        <v>108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>
      <c r="A18" s="20" t="s">
        <v>109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</row>
    <row r="19">
      <c r="A19" s="21" t="s">
        <v>110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</row>
  </sheetData>
  <mergeCells count="5">
    <mergeCell ref="A2:A3"/>
    <mergeCell ref="A4:A5"/>
    <mergeCell ref="A6:A7"/>
    <mergeCell ref="A8:A9"/>
    <mergeCell ref="A10:A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9.63"/>
    <col customWidth="1" min="3" max="3" width="16.88"/>
    <col customWidth="1" min="4" max="4" width="27.25"/>
    <col customWidth="1" min="5" max="5" width="18.5"/>
  </cols>
  <sheetData>
    <row r="1">
      <c r="A1" s="22" t="s">
        <v>111</v>
      </c>
      <c r="B1" s="22" t="s">
        <v>112</v>
      </c>
      <c r="C1" s="23" t="s">
        <v>113</v>
      </c>
      <c r="D1" s="23" t="s">
        <v>114</v>
      </c>
      <c r="E1" s="23" t="s">
        <v>115</v>
      </c>
    </row>
    <row r="2">
      <c r="A2" s="24" t="s">
        <v>116</v>
      </c>
      <c r="B2" s="24" t="s">
        <v>117</v>
      </c>
      <c r="C2" s="24">
        <v>87.0</v>
      </c>
      <c r="D2" s="24">
        <v>87.0</v>
      </c>
      <c r="E2" s="25" t="s">
        <v>118</v>
      </c>
    </row>
    <row r="3">
      <c r="A3" s="24" t="s">
        <v>117</v>
      </c>
      <c r="B3" s="24" t="s">
        <v>119</v>
      </c>
      <c r="C3" s="24">
        <v>75.0</v>
      </c>
      <c r="D3" s="26">
        <f t="shared" ref="D3:D30" si="1">D2+C3</f>
        <v>162</v>
      </c>
      <c r="E3" s="25" t="s">
        <v>120</v>
      </c>
    </row>
    <row r="4">
      <c r="A4" s="24" t="s">
        <v>119</v>
      </c>
      <c r="B4" s="24" t="s">
        <v>121</v>
      </c>
      <c r="C4" s="24">
        <v>78.0</v>
      </c>
      <c r="D4" s="26">
        <f t="shared" si="1"/>
        <v>240</v>
      </c>
      <c r="E4" s="25" t="s">
        <v>122</v>
      </c>
    </row>
    <row r="5">
      <c r="A5" s="24" t="s">
        <v>121</v>
      </c>
      <c r="B5" s="24" t="s">
        <v>123</v>
      </c>
      <c r="C5" s="24">
        <v>34.0</v>
      </c>
      <c r="D5" s="26">
        <f t="shared" si="1"/>
        <v>274</v>
      </c>
      <c r="E5" s="25" t="s">
        <v>118</v>
      </c>
    </row>
    <row r="6">
      <c r="A6" s="24" t="s">
        <v>123</v>
      </c>
      <c r="B6" s="24" t="s">
        <v>124</v>
      </c>
      <c r="C6" s="24">
        <v>90.0</v>
      </c>
      <c r="D6" s="26">
        <f t="shared" si="1"/>
        <v>364</v>
      </c>
      <c r="E6" s="25" t="s">
        <v>122</v>
      </c>
    </row>
    <row r="7">
      <c r="A7" s="24" t="s">
        <v>124</v>
      </c>
      <c r="B7" s="24" t="s">
        <v>125</v>
      </c>
      <c r="C7" s="24">
        <v>74.0</v>
      </c>
      <c r="D7" s="26">
        <f t="shared" si="1"/>
        <v>438</v>
      </c>
      <c r="E7" s="25" t="s">
        <v>118</v>
      </c>
    </row>
    <row r="8">
      <c r="A8" s="24" t="s">
        <v>125</v>
      </c>
      <c r="B8" s="27" t="s">
        <v>126</v>
      </c>
      <c r="C8" s="28">
        <v>67.0</v>
      </c>
      <c r="D8" s="26">
        <f t="shared" si="1"/>
        <v>505</v>
      </c>
      <c r="E8" s="25" t="s">
        <v>120</v>
      </c>
    </row>
    <row r="9">
      <c r="A9" s="27" t="s">
        <v>126</v>
      </c>
      <c r="B9" s="27" t="s">
        <v>127</v>
      </c>
      <c r="C9" s="28">
        <v>66.0</v>
      </c>
      <c r="D9" s="26">
        <f t="shared" si="1"/>
        <v>571</v>
      </c>
      <c r="E9" s="25" t="s">
        <v>120</v>
      </c>
    </row>
    <row r="10">
      <c r="A10" s="27" t="s">
        <v>127</v>
      </c>
      <c r="B10" s="27" t="s">
        <v>128</v>
      </c>
      <c r="C10" s="28">
        <v>81.0</v>
      </c>
      <c r="D10" s="26">
        <f t="shared" si="1"/>
        <v>652</v>
      </c>
      <c r="E10" s="25" t="s">
        <v>122</v>
      </c>
    </row>
    <row r="11">
      <c r="A11" s="24" t="s">
        <v>128</v>
      </c>
      <c r="B11" s="27" t="s">
        <v>129</v>
      </c>
      <c r="C11" s="28">
        <v>25.0</v>
      </c>
      <c r="D11" s="26">
        <f t="shared" si="1"/>
        <v>677</v>
      </c>
      <c r="E11" s="25" t="s">
        <v>130</v>
      </c>
    </row>
    <row r="12">
      <c r="A12" s="27" t="s">
        <v>129</v>
      </c>
      <c r="B12" s="27" t="s">
        <v>131</v>
      </c>
      <c r="C12" s="28">
        <v>84.0</v>
      </c>
      <c r="D12" s="26">
        <f t="shared" si="1"/>
        <v>761</v>
      </c>
      <c r="E12" s="25" t="s">
        <v>130</v>
      </c>
    </row>
    <row r="13">
      <c r="A13" s="27" t="s">
        <v>131</v>
      </c>
      <c r="B13" s="27" t="s">
        <v>132</v>
      </c>
      <c r="C13" s="28">
        <v>19.0</v>
      </c>
      <c r="D13" s="26">
        <f t="shared" si="1"/>
        <v>780</v>
      </c>
      <c r="E13" s="25" t="s">
        <v>118</v>
      </c>
    </row>
    <row r="14">
      <c r="A14" s="27" t="s">
        <v>132</v>
      </c>
      <c r="B14" s="27" t="s">
        <v>133</v>
      </c>
      <c r="C14" s="28">
        <v>60.0</v>
      </c>
      <c r="D14" s="26">
        <f t="shared" si="1"/>
        <v>840</v>
      </c>
      <c r="E14" s="25" t="s">
        <v>120</v>
      </c>
    </row>
    <row r="15">
      <c r="A15" s="27" t="s">
        <v>133</v>
      </c>
      <c r="B15" s="27" t="s">
        <v>134</v>
      </c>
      <c r="C15" s="28">
        <v>102.0</v>
      </c>
      <c r="D15" s="26">
        <f t="shared" si="1"/>
        <v>942</v>
      </c>
      <c r="E15" s="25" t="s">
        <v>120</v>
      </c>
    </row>
    <row r="16">
      <c r="A16" s="27" t="s">
        <v>134</v>
      </c>
      <c r="B16" s="27" t="s">
        <v>135</v>
      </c>
      <c r="C16" s="28">
        <v>110.0</v>
      </c>
      <c r="D16" s="26">
        <f t="shared" si="1"/>
        <v>1052</v>
      </c>
      <c r="E16" s="25" t="s">
        <v>120</v>
      </c>
    </row>
    <row r="17">
      <c r="A17" s="27" t="s">
        <v>135</v>
      </c>
      <c r="B17" s="27" t="s">
        <v>136</v>
      </c>
      <c r="C17" s="28">
        <v>85.0</v>
      </c>
      <c r="D17" s="26">
        <f t="shared" si="1"/>
        <v>1137</v>
      </c>
      <c r="E17" s="25" t="s">
        <v>122</v>
      </c>
    </row>
    <row r="18">
      <c r="A18" s="27" t="s">
        <v>136</v>
      </c>
      <c r="B18" s="27" t="s">
        <v>137</v>
      </c>
      <c r="C18" s="28">
        <v>22.0</v>
      </c>
      <c r="D18" s="26">
        <f t="shared" si="1"/>
        <v>1159</v>
      </c>
      <c r="E18" s="25" t="s">
        <v>130</v>
      </c>
    </row>
    <row r="19">
      <c r="A19" s="27" t="s">
        <v>137</v>
      </c>
      <c r="B19" s="27" t="s">
        <v>138</v>
      </c>
      <c r="C19" s="28">
        <v>69.0</v>
      </c>
      <c r="D19" s="26">
        <f t="shared" si="1"/>
        <v>1228</v>
      </c>
      <c r="E19" s="25" t="s">
        <v>130</v>
      </c>
    </row>
    <row r="20">
      <c r="A20" s="27" t="s">
        <v>138</v>
      </c>
      <c r="B20" s="27" t="s">
        <v>139</v>
      </c>
      <c r="C20" s="28">
        <v>100.0</v>
      </c>
      <c r="D20" s="26">
        <f t="shared" si="1"/>
        <v>1328</v>
      </c>
      <c r="E20" s="25" t="s">
        <v>118</v>
      </c>
    </row>
    <row r="21">
      <c r="A21" s="27" t="s">
        <v>139</v>
      </c>
      <c r="B21" s="27" t="s">
        <v>140</v>
      </c>
      <c r="C21" s="28">
        <v>49.0</v>
      </c>
      <c r="D21" s="26">
        <f t="shared" si="1"/>
        <v>1377</v>
      </c>
      <c r="E21" s="25" t="s">
        <v>122</v>
      </c>
    </row>
    <row r="22">
      <c r="A22" s="27" t="s">
        <v>140</v>
      </c>
      <c r="B22" s="27" t="s">
        <v>141</v>
      </c>
      <c r="C22" s="28">
        <v>110.0</v>
      </c>
      <c r="D22" s="26">
        <f t="shared" si="1"/>
        <v>1487</v>
      </c>
      <c r="E22" s="25" t="s">
        <v>118</v>
      </c>
    </row>
    <row r="23">
      <c r="A23" s="27" t="s">
        <v>141</v>
      </c>
      <c r="B23" s="27" t="s">
        <v>142</v>
      </c>
      <c r="C23" s="28">
        <v>18.0</v>
      </c>
      <c r="D23" s="26">
        <f t="shared" si="1"/>
        <v>1505</v>
      </c>
      <c r="E23" s="25" t="s">
        <v>122</v>
      </c>
    </row>
    <row r="24">
      <c r="A24" s="27" t="s">
        <v>142</v>
      </c>
      <c r="B24" s="27" t="s">
        <v>143</v>
      </c>
      <c r="C24" s="28">
        <v>75.0</v>
      </c>
      <c r="D24" s="26">
        <f t="shared" si="1"/>
        <v>1580</v>
      </c>
      <c r="E24" s="29" t="s">
        <v>118</v>
      </c>
    </row>
    <row r="25">
      <c r="A25" s="27" t="s">
        <v>143</v>
      </c>
      <c r="B25" s="27" t="s">
        <v>144</v>
      </c>
      <c r="C25" s="28">
        <v>91.0</v>
      </c>
      <c r="D25" s="26">
        <f t="shared" si="1"/>
        <v>1671</v>
      </c>
      <c r="E25" s="25" t="s">
        <v>122</v>
      </c>
    </row>
    <row r="26">
      <c r="A26" s="27" t="s">
        <v>144</v>
      </c>
      <c r="B26" s="27" t="s">
        <v>145</v>
      </c>
      <c r="C26" s="28">
        <v>28.0</v>
      </c>
      <c r="D26" s="26">
        <f t="shared" si="1"/>
        <v>1699</v>
      </c>
      <c r="E26" s="25" t="s">
        <v>130</v>
      </c>
    </row>
    <row r="27">
      <c r="A27" s="27" t="s">
        <v>145</v>
      </c>
      <c r="B27" s="27" t="s">
        <v>146</v>
      </c>
      <c r="C27" s="28">
        <v>92.0</v>
      </c>
      <c r="D27" s="26">
        <f t="shared" si="1"/>
        <v>1791</v>
      </c>
      <c r="E27" s="25" t="s">
        <v>118</v>
      </c>
    </row>
    <row r="28">
      <c r="A28" s="27" t="s">
        <v>146</v>
      </c>
      <c r="B28" s="27" t="s">
        <v>147</v>
      </c>
      <c r="C28" s="28">
        <v>84.0</v>
      </c>
      <c r="D28" s="26">
        <f t="shared" si="1"/>
        <v>1875</v>
      </c>
      <c r="E28" s="25" t="s">
        <v>120</v>
      </c>
    </row>
    <row r="29">
      <c r="A29" s="27" t="s">
        <v>147</v>
      </c>
      <c r="B29" s="27" t="s">
        <v>148</v>
      </c>
      <c r="C29" s="28">
        <v>54.0</v>
      </c>
      <c r="D29" s="26">
        <f t="shared" si="1"/>
        <v>1929</v>
      </c>
      <c r="E29" s="25" t="s">
        <v>120</v>
      </c>
    </row>
    <row r="30">
      <c r="A30" s="30" t="s">
        <v>148</v>
      </c>
      <c r="B30" s="30" t="s">
        <v>149</v>
      </c>
      <c r="C30" s="31">
        <v>74.0</v>
      </c>
      <c r="D30" s="32">
        <f t="shared" si="1"/>
        <v>2003</v>
      </c>
      <c r="E30" s="25" t="s">
        <v>122</v>
      </c>
    </row>
    <row r="31">
      <c r="A31" s="33"/>
      <c r="B31" s="33"/>
      <c r="C31" s="34"/>
      <c r="D31" s="35"/>
      <c r="E31" s="36"/>
    </row>
    <row r="32">
      <c r="A32" s="10"/>
      <c r="B32" s="10"/>
      <c r="C32" s="37"/>
      <c r="D32" s="16"/>
      <c r="E32" s="16"/>
    </row>
    <row r="33">
      <c r="A33" s="38"/>
      <c r="B33" s="38"/>
      <c r="C33" s="39"/>
      <c r="D33" s="40"/>
      <c r="E33" s="16"/>
    </row>
    <row r="34">
      <c r="A34" s="38"/>
      <c r="B34" s="38"/>
      <c r="C34" s="39"/>
      <c r="D34" s="40"/>
      <c r="E34" s="16"/>
    </row>
    <row r="35">
      <c r="A35" s="38"/>
      <c r="B35" s="38"/>
      <c r="C35" s="39"/>
      <c r="D35" s="40"/>
      <c r="E35" s="16"/>
    </row>
    <row r="36">
      <c r="A36" s="38"/>
      <c r="B36" s="38"/>
      <c r="C36" s="39"/>
      <c r="D36" s="41"/>
    </row>
    <row r="37">
      <c r="A37" s="38"/>
      <c r="B37" s="38"/>
      <c r="C37" s="39"/>
      <c r="D37" s="41"/>
    </row>
    <row r="38">
      <c r="A38" s="38"/>
      <c r="B38" s="38"/>
      <c r="C38" s="39"/>
      <c r="D38" s="41"/>
    </row>
    <row r="39">
      <c r="A39" s="38"/>
      <c r="B39" s="38"/>
      <c r="C39" s="39"/>
      <c r="D39" s="4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19.25"/>
    <col customWidth="1" min="3" max="3" width="13.38"/>
    <col customWidth="1" min="4" max="4" width="39.5"/>
    <col customWidth="1" min="7" max="7" width="30.88"/>
    <col customWidth="1" min="10" max="10" width="35.25"/>
    <col customWidth="1" min="12" max="12" width="8.25"/>
    <col customWidth="1" min="13" max="13" width="39.75"/>
    <col customWidth="1" min="17" max="17" width="38.63"/>
    <col customWidth="1" min="20" max="20" width="33.13"/>
  </cols>
  <sheetData>
    <row r="1">
      <c r="A1" s="42" t="s">
        <v>150</v>
      </c>
      <c r="B1" s="43"/>
      <c r="C1" s="44"/>
      <c r="D1" s="45"/>
      <c r="E1" s="45"/>
      <c r="F1" s="45"/>
      <c r="G1" s="45"/>
      <c r="H1" s="45"/>
      <c r="I1" s="45"/>
      <c r="J1" s="45"/>
      <c r="K1" s="45"/>
      <c r="L1" s="45"/>
    </row>
    <row r="2">
      <c r="A2" s="46" t="s">
        <v>151</v>
      </c>
      <c r="B2" s="43"/>
      <c r="C2" s="44"/>
      <c r="D2" s="45"/>
      <c r="E2" s="45"/>
      <c r="F2" s="45"/>
      <c r="G2" s="45"/>
      <c r="H2" s="45"/>
      <c r="I2" s="45"/>
      <c r="J2" s="45"/>
      <c r="K2" s="45"/>
      <c r="L2" s="45"/>
    </row>
    <row r="3">
      <c r="A3" s="46" t="s">
        <v>152</v>
      </c>
      <c r="B3" s="43"/>
      <c r="C3" s="47"/>
      <c r="D3" s="48"/>
      <c r="E3" s="45"/>
      <c r="F3" s="45"/>
      <c r="G3" s="45"/>
      <c r="H3" s="45"/>
      <c r="I3" s="45"/>
      <c r="J3" s="45"/>
      <c r="K3" s="45"/>
      <c r="L3" s="45"/>
    </row>
    <row r="4">
      <c r="A4" s="46" t="s">
        <v>153</v>
      </c>
      <c r="B4" s="43"/>
      <c r="C4" s="44"/>
      <c r="D4" s="48"/>
      <c r="E4" s="45"/>
      <c r="F4" s="45"/>
      <c r="G4" s="45"/>
      <c r="H4" s="45"/>
      <c r="I4" s="45"/>
      <c r="J4" s="45"/>
      <c r="K4" s="45"/>
      <c r="L4" s="45"/>
    </row>
    <row r="5">
      <c r="A5" s="49"/>
      <c r="B5" s="49"/>
      <c r="C5" s="44"/>
      <c r="D5" s="48"/>
      <c r="E5" s="45"/>
      <c r="F5" s="45"/>
      <c r="G5" s="45"/>
      <c r="H5" s="45"/>
      <c r="I5" s="45"/>
      <c r="J5" s="45"/>
      <c r="K5" s="45"/>
      <c r="L5" s="45"/>
    </row>
    <row r="6">
      <c r="A6" s="49"/>
      <c r="B6" s="49"/>
      <c r="C6" s="44"/>
      <c r="D6" s="48"/>
      <c r="E6" s="45"/>
      <c r="F6" s="45"/>
      <c r="G6" s="45"/>
      <c r="H6" s="45"/>
      <c r="I6" s="45"/>
      <c r="J6" s="45"/>
      <c r="K6" s="45"/>
      <c r="L6" s="45"/>
    </row>
    <row r="7">
      <c r="A7" s="50" t="s">
        <v>154</v>
      </c>
      <c r="B7" s="43"/>
      <c r="C7" s="44"/>
      <c r="D7" s="51" t="s">
        <v>155</v>
      </c>
      <c r="E7" s="43"/>
      <c r="F7" s="45"/>
      <c r="G7" s="51" t="s">
        <v>156</v>
      </c>
      <c r="H7" s="43"/>
      <c r="I7" s="45"/>
      <c r="J7" s="51" t="s">
        <v>157</v>
      </c>
      <c r="K7" s="43"/>
      <c r="L7" s="45"/>
      <c r="M7" s="42" t="s">
        <v>158</v>
      </c>
      <c r="N7" s="43"/>
      <c r="Q7" s="52" t="s">
        <v>159</v>
      </c>
      <c r="R7" s="43"/>
      <c r="S7" s="53"/>
      <c r="T7" s="54" t="s">
        <v>160</v>
      </c>
      <c r="U7" s="43"/>
    </row>
    <row r="8">
      <c r="A8" s="55" t="s">
        <v>161</v>
      </c>
      <c r="B8" s="43"/>
      <c r="C8" s="44"/>
      <c r="D8" s="56" t="s">
        <v>162</v>
      </c>
      <c r="E8" s="57" t="s">
        <v>163</v>
      </c>
      <c r="F8" s="45"/>
      <c r="G8" s="56" t="s">
        <v>164</v>
      </c>
      <c r="H8" s="58">
        <v>5.5</v>
      </c>
      <c r="I8" s="45"/>
      <c r="J8" s="24" t="s">
        <v>165</v>
      </c>
      <c r="K8" s="24">
        <v>-6.0</v>
      </c>
      <c r="L8" s="45"/>
      <c r="M8" s="59" t="s">
        <v>166</v>
      </c>
      <c r="N8" s="59">
        <v>0.21</v>
      </c>
      <c r="O8" s="60" t="s">
        <v>167</v>
      </c>
      <c r="Q8" s="24" t="s">
        <v>168</v>
      </c>
      <c r="R8" s="24">
        <v>1.0</v>
      </c>
      <c r="S8" s="53"/>
      <c r="T8" s="24" t="s">
        <v>169</v>
      </c>
      <c r="U8" s="24">
        <v>80.0</v>
      </c>
    </row>
    <row r="9">
      <c r="A9" s="25" t="s">
        <v>170</v>
      </c>
      <c r="B9" s="61">
        <v>1.0</v>
      </c>
      <c r="C9" s="44"/>
      <c r="D9" s="56" t="s">
        <v>171</v>
      </c>
      <c r="E9" s="56">
        <v>22.0</v>
      </c>
      <c r="F9" s="45"/>
      <c r="G9" s="56" t="s">
        <v>172</v>
      </c>
      <c r="H9" s="56">
        <v>22.0</v>
      </c>
      <c r="I9" s="48"/>
      <c r="J9" s="24" t="s">
        <v>173</v>
      </c>
      <c r="K9" s="24" t="s">
        <v>174</v>
      </c>
      <c r="L9" s="45"/>
      <c r="M9" s="59" t="s">
        <v>175</v>
      </c>
      <c r="N9" s="59">
        <v>0.23</v>
      </c>
      <c r="O9" s="11"/>
      <c r="Q9" s="24" t="s">
        <v>176</v>
      </c>
      <c r="R9" s="56">
        <v>0.86</v>
      </c>
      <c r="S9" s="53"/>
      <c r="T9" s="24" t="s">
        <v>177</v>
      </c>
      <c r="U9" s="24">
        <v>-1340.0</v>
      </c>
    </row>
    <row r="10">
      <c r="A10" s="25" t="s">
        <v>178</v>
      </c>
      <c r="B10" s="25">
        <v>11.0</v>
      </c>
      <c r="C10" s="44"/>
      <c r="D10" s="56" t="s">
        <v>179</v>
      </c>
      <c r="E10" s="24">
        <v>8.0</v>
      </c>
      <c r="F10" s="45"/>
      <c r="G10" s="24" t="s">
        <v>180</v>
      </c>
      <c r="H10" s="24">
        <v>22.5</v>
      </c>
      <c r="I10" s="45"/>
      <c r="J10" s="45"/>
      <c r="K10" s="45"/>
      <c r="L10" s="45"/>
      <c r="M10" s="59" t="s">
        <v>181</v>
      </c>
      <c r="N10" s="59">
        <v>85.0</v>
      </c>
      <c r="Q10" s="24" t="s">
        <v>182</v>
      </c>
      <c r="R10" s="24">
        <f>-(1550^2)*N12/(2*PI()*300000)</f>
        <v>-22.94218505</v>
      </c>
      <c r="S10" s="53"/>
      <c r="T10" s="24" t="s">
        <v>183</v>
      </c>
      <c r="U10" s="24">
        <f>U9/U8</f>
        <v>-16.75</v>
      </c>
    </row>
    <row r="11">
      <c r="A11" s="25" t="s">
        <v>184</v>
      </c>
      <c r="B11" s="25">
        <v>38.0</v>
      </c>
      <c r="C11" s="44"/>
      <c r="D11" s="56" t="s">
        <v>185</v>
      </c>
      <c r="E11" s="24">
        <v>5.0</v>
      </c>
      <c r="F11" s="45"/>
      <c r="G11" s="58" t="s">
        <v>186</v>
      </c>
      <c r="H11" s="24">
        <v>-34.0</v>
      </c>
      <c r="I11" s="45"/>
      <c r="J11" s="45"/>
      <c r="K11" s="45"/>
      <c r="L11" s="45"/>
      <c r="M11" s="59" t="s">
        <v>187</v>
      </c>
      <c r="N11" s="62">
        <f>1.8*10^-8</f>
        <v>0.000000018</v>
      </c>
      <c r="Q11" s="24" t="s">
        <v>188</v>
      </c>
      <c r="R11" s="24">
        <v>40.0</v>
      </c>
      <c r="S11" s="53"/>
      <c r="T11" s="24" t="s">
        <v>189</v>
      </c>
      <c r="U11" s="24" t="s">
        <v>190</v>
      </c>
    </row>
    <row r="12">
      <c r="A12" s="25" t="s">
        <v>191</v>
      </c>
      <c r="B12" s="25">
        <v>42.0</v>
      </c>
      <c r="C12" s="44"/>
      <c r="D12" s="58" t="s">
        <v>192</v>
      </c>
      <c r="E12" s="56">
        <v>15.0</v>
      </c>
      <c r="F12" s="45"/>
      <c r="G12" s="24" t="s">
        <v>162</v>
      </c>
      <c r="H12" s="57" t="s">
        <v>163</v>
      </c>
      <c r="I12" s="45"/>
      <c r="J12" s="45"/>
      <c r="K12" s="45"/>
      <c r="L12" s="45"/>
      <c r="M12" s="24" t="s">
        <v>193</v>
      </c>
      <c r="N12" s="63">
        <v>18.0</v>
      </c>
      <c r="Q12" s="24" t="s">
        <v>194</v>
      </c>
      <c r="R12" s="64">
        <f>30.14*10^9</f>
        <v>30140000000</v>
      </c>
      <c r="S12" s="53"/>
      <c r="T12" s="24" t="s">
        <v>195</v>
      </c>
      <c r="U12" s="24">
        <v>0.5</v>
      </c>
    </row>
    <row r="13">
      <c r="A13" s="65" t="s">
        <v>196</v>
      </c>
      <c r="B13" s="65">
        <v>100000.0</v>
      </c>
      <c r="C13" s="44"/>
      <c r="D13" s="56" t="s">
        <v>197</v>
      </c>
      <c r="E13" s="24">
        <v>18.0</v>
      </c>
      <c r="F13" s="45"/>
      <c r="G13" s="66"/>
      <c r="H13" s="66"/>
      <c r="I13" s="45"/>
      <c r="J13" s="45"/>
      <c r="K13" s="45"/>
      <c r="L13" s="45"/>
      <c r="M13" s="67" t="s">
        <v>198</v>
      </c>
      <c r="N13" s="67">
        <v>1310.0</v>
      </c>
      <c r="O13" s="67" t="s">
        <v>199</v>
      </c>
      <c r="Q13" s="24" t="s">
        <v>200</v>
      </c>
      <c r="R13" s="68">
        <f>12.5*10^9</f>
        <v>12500000000</v>
      </c>
      <c r="S13" s="53"/>
    </row>
    <row r="14">
      <c r="A14" s="69" t="s">
        <v>201</v>
      </c>
      <c r="B14" s="70">
        <f>12.5*10^9</f>
        <v>12500000000</v>
      </c>
      <c r="C14" s="44"/>
      <c r="D14" s="56" t="s">
        <v>202</v>
      </c>
      <c r="E14" s="24">
        <v>6.5</v>
      </c>
      <c r="F14" s="45"/>
      <c r="G14" s="45"/>
      <c r="H14" s="45"/>
      <c r="I14" s="45"/>
      <c r="J14" s="45"/>
      <c r="K14" s="45"/>
      <c r="L14" s="45"/>
      <c r="M14" s="67" t="s">
        <v>203</v>
      </c>
      <c r="N14" s="67">
        <v>0.092</v>
      </c>
      <c r="O14" s="71"/>
    </row>
    <row r="15">
      <c r="A15" s="25" t="s">
        <v>204</v>
      </c>
      <c r="B15" s="25">
        <v>35.18</v>
      </c>
      <c r="C15" s="44"/>
      <c r="D15" s="24" t="s">
        <v>205</v>
      </c>
      <c r="E15" s="24">
        <v>-20.0</v>
      </c>
      <c r="F15" s="45"/>
      <c r="G15" s="45"/>
      <c r="H15" s="45"/>
      <c r="I15" s="45"/>
      <c r="J15" s="45"/>
      <c r="K15" s="45"/>
      <c r="L15" s="45"/>
      <c r="M15" s="72" t="s">
        <v>206</v>
      </c>
      <c r="N15" s="59">
        <v>0.1</v>
      </c>
    </row>
    <row r="16">
      <c r="A16" s="55" t="s">
        <v>207</v>
      </c>
      <c r="B16" s="43"/>
      <c r="C16" s="44"/>
      <c r="D16" s="58" t="s">
        <v>208</v>
      </c>
      <c r="E16" s="24">
        <v>-35.0</v>
      </c>
      <c r="F16" s="45"/>
      <c r="G16" s="45"/>
      <c r="H16" s="45"/>
      <c r="I16" s="45"/>
      <c r="J16" s="45"/>
      <c r="K16" s="45"/>
      <c r="L16" s="45"/>
    </row>
    <row r="17">
      <c r="A17" s="73" t="s">
        <v>209</v>
      </c>
      <c r="B17" s="61">
        <v>-32.0</v>
      </c>
      <c r="C17" s="44"/>
      <c r="D17" s="24" t="s">
        <v>210</v>
      </c>
      <c r="E17" s="24">
        <f>E15-E11+E13</f>
        <v>-7</v>
      </c>
      <c r="F17" s="45"/>
      <c r="G17" s="45"/>
      <c r="H17" s="45"/>
      <c r="I17" s="45"/>
      <c r="J17" s="45"/>
      <c r="K17" s="45"/>
      <c r="L17" s="45"/>
    </row>
    <row r="18">
      <c r="A18" s="73" t="s">
        <v>211</v>
      </c>
      <c r="B18" s="74"/>
      <c r="C18" s="44"/>
      <c r="D18" s="24" t="s">
        <v>212</v>
      </c>
      <c r="E18" s="24">
        <f>E16-E11+E9</f>
        <v>-18</v>
      </c>
      <c r="F18" s="45"/>
      <c r="G18" s="45"/>
      <c r="H18" s="45"/>
      <c r="I18" s="45"/>
      <c r="J18" s="45"/>
      <c r="K18" s="45"/>
      <c r="L18" s="45"/>
    </row>
    <row r="19">
      <c r="A19" s="73" t="s">
        <v>213</v>
      </c>
      <c r="B19" s="73"/>
      <c r="C19" s="44"/>
      <c r="D19" s="75" t="s">
        <v>214</v>
      </c>
      <c r="E19" s="75" t="s">
        <v>215</v>
      </c>
      <c r="F19" s="45"/>
      <c r="G19" s="45"/>
      <c r="H19" s="45"/>
      <c r="I19" s="45"/>
      <c r="J19" s="45"/>
      <c r="K19" s="45"/>
      <c r="L19" s="45"/>
    </row>
    <row r="20">
      <c r="A20" s="73" t="s">
        <v>216</v>
      </c>
      <c r="B20" s="73"/>
      <c r="C20" s="44"/>
      <c r="D20" s="75" t="s">
        <v>217</v>
      </c>
      <c r="E20" s="75" t="s">
        <v>218</v>
      </c>
      <c r="F20" s="45"/>
      <c r="G20" s="48"/>
      <c r="H20" s="45"/>
      <c r="I20" s="45"/>
      <c r="J20" s="45"/>
      <c r="K20" s="45"/>
      <c r="L20" s="45"/>
    </row>
    <row r="21">
      <c r="A21" s="73" t="s">
        <v>219</v>
      </c>
      <c r="B21" s="73"/>
      <c r="C21" s="44"/>
      <c r="D21" s="75" t="s">
        <v>220</v>
      </c>
      <c r="E21" s="76">
        <f>23-18-10*LOG10(40)</f>
        <v>-11.02059991</v>
      </c>
      <c r="F21" s="45"/>
      <c r="G21" s="45"/>
      <c r="H21" s="45"/>
      <c r="I21" s="45"/>
      <c r="J21" s="45"/>
      <c r="K21" s="45"/>
      <c r="L21" s="45"/>
    </row>
    <row r="22">
      <c r="A22" s="25" t="s">
        <v>221</v>
      </c>
      <c r="B22" s="25" t="s">
        <v>222</v>
      </c>
      <c r="C22" s="44"/>
      <c r="D22" s="75" t="s">
        <v>223</v>
      </c>
      <c r="E22" s="76">
        <f>23-22-10*LOG10(40)</f>
        <v>-15.02059991</v>
      </c>
      <c r="F22" s="45"/>
      <c r="G22" s="48" t="s">
        <v>224</v>
      </c>
      <c r="H22" s="45"/>
      <c r="I22" s="45"/>
      <c r="J22" s="45"/>
      <c r="K22" s="45"/>
      <c r="L22" s="45"/>
    </row>
    <row r="23">
      <c r="A23" s="77"/>
      <c r="C23" s="44"/>
      <c r="D23" s="45"/>
      <c r="E23" s="45"/>
      <c r="F23" s="45"/>
      <c r="G23" s="45"/>
      <c r="H23" s="45"/>
      <c r="I23" s="45"/>
      <c r="J23" s="45"/>
      <c r="K23" s="45"/>
      <c r="L23" s="45"/>
    </row>
    <row r="24">
      <c r="A24" s="49"/>
      <c r="B24" s="77"/>
      <c r="C24" s="44"/>
      <c r="D24" s="45"/>
      <c r="E24" s="45"/>
      <c r="F24" s="45"/>
      <c r="G24" s="45"/>
      <c r="H24" s="45"/>
      <c r="I24" s="45"/>
      <c r="J24" s="45"/>
      <c r="K24" s="45"/>
      <c r="L24" s="45"/>
    </row>
    <row r="25">
      <c r="C25" s="44"/>
      <c r="D25" s="45"/>
      <c r="E25" s="45"/>
      <c r="F25" s="45"/>
      <c r="G25" s="45"/>
      <c r="H25" s="45"/>
      <c r="I25" s="45"/>
      <c r="J25" s="45"/>
      <c r="K25" s="45"/>
      <c r="L25" s="45"/>
    </row>
    <row r="26">
      <c r="D26" s="45"/>
      <c r="E26" s="45"/>
      <c r="F26" s="45"/>
      <c r="G26" s="45"/>
      <c r="H26" s="45"/>
      <c r="I26" s="45"/>
      <c r="J26" s="45"/>
      <c r="K26" s="45"/>
      <c r="L26" s="45"/>
    </row>
    <row r="27">
      <c r="D27" s="45"/>
      <c r="E27" s="45"/>
      <c r="F27" s="45"/>
      <c r="G27" s="45"/>
      <c r="H27" s="45"/>
      <c r="I27" s="45"/>
      <c r="J27" s="45"/>
      <c r="K27" s="45"/>
      <c r="L27" s="45"/>
    </row>
    <row r="28">
      <c r="D28" s="45"/>
      <c r="E28" s="45"/>
      <c r="F28" s="45"/>
      <c r="G28" s="45"/>
      <c r="H28" s="45"/>
      <c r="I28" s="45"/>
      <c r="J28" s="45"/>
      <c r="K28" s="45"/>
      <c r="L28" s="45"/>
    </row>
    <row r="29">
      <c r="D29" s="45"/>
      <c r="E29" s="45"/>
      <c r="F29" s="45"/>
      <c r="G29" s="45"/>
      <c r="H29" s="45"/>
      <c r="I29" s="45"/>
      <c r="J29" s="45"/>
      <c r="K29" s="45"/>
      <c r="L29" s="45"/>
    </row>
    <row r="30">
      <c r="D30" s="45"/>
      <c r="E30" s="45"/>
      <c r="F30" s="45"/>
      <c r="G30" s="45"/>
      <c r="H30" s="45"/>
      <c r="I30" s="45"/>
      <c r="J30" s="45"/>
      <c r="K30" s="45"/>
      <c r="L30" s="45"/>
    </row>
    <row r="31">
      <c r="D31" s="45"/>
      <c r="E31" s="45"/>
      <c r="F31" s="45"/>
      <c r="G31" s="45"/>
      <c r="H31" s="45"/>
      <c r="I31" s="45"/>
      <c r="J31" s="45"/>
      <c r="K31" s="45"/>
      <c r="L31" s="45"/>
    </row>
    <row r="32">
      <c r="A32" s="49"/>
      <c r="B32" s="77"/>
      <c r="D32" s="45"/>
      <c r="E32" s="45"/>
      <c r="F32" s="45"/>
      <c r="G32" s="45"/>
      <c r="H32" s="45"/>
      <c r="I32" s="45"/>
      <c r="J32" s="45"/>
      <c r="K32" s="45"/>
      <c r="L32" s="45"/>
    </row>
    <row r="33">
      <c r="A33" s="77"/>
      <c r="B33" s="78"/>
      <c r="C33" s="79"/>
      <c r="D33" s="45"/>
      <c r="E33" s="45"/>
      <c r="F33" s="45"/>
      <c r="G33" s="45"/>
      <c r="H33" s="45"/>
      <c r="I33" s="45"/>
      <c r="J33" s="45"/>
      <c r="K33" s="45"/>
      <c r="L33" s="45"/>
    </row>
    <row r="34">
      <c r="A34" s="77"/>
      <c r="B34" s="78"/>
      <c r="C34" s="44"/>
      <c r="D34" s="45"/>
      <c r="E34" s="45"/>
      <c r="F34" s="45"/>
      <c r="G34" s="45"/>
      <c r="H34" s="45"/>
      <c r="I34" s="45"/>
      <c r="J34" s="45"/>
      <c r="K34" s="45"/>
      <c r="L34" s="45"/>
    </row>
    <row r="35">
      <c r="A35" s="77"/>
      <c r="B35" s="78"/>
      <c r="C35" s="44"/>
      <c r="D35" s="45"/>
      <c r="E35" s="45"/>
      <c r="F35" s="45"/>
      <c r="G35" s="45"/>
      <c r="H35" s="45"/>
      <c r="I35" s="45"/>
      <c r="J35" s="45"/>
      <c r="K35" s="45"/>
      <c r="L35" s="45"/>
    </row>
    <row r="36">
      <c r="A36" s="80"/>
      <c r="B36" s="80"/>
      <c r="C36" s="44"/>
      <c r="D36" s="45"/>
      <c r="E36" s="45"/>
      <c r="F36" s="45"/>
      <c r="G36" s="45"/>
      <c r="H36" s="45"/>
      <c r="I36" s="45"/>
      <c r="J36" s="45"/>
      <c r="K36" s="45"/>
      <c r="L36" s="45"/>
    </row>
    <row r="37">
      <c r="A37" s="80"/>
      <c r="B37" s="80"/>
      <c r="C37" s="81"/>
      <c r="F37" s="45"/>
      <c r="G37" s="45"/>
      <c r="H37" s="45"/>
      <c r="I37" s="45"/>
      <c r="J37" s="45"/>
      <c r="K37" s="45"/>
      <c r="L37" s="45"/>
    </row>
    <row r="38">
      <c r="A38" s="80"/>
      <c r="B38" s="80"/>
      <c r="C38" s="81"/>
      <c r="F38" s="45"/>
      <c r="G38" s="45"/>
      <c r="H38" s="45"/>
      <c r="I38" s="45"/>
      <c r="J38" s="45"/>
      <c r="K38" s="45"/>
      <c r="L38" s="45"/>
    </row>
    <row r="39">
      <c r="A39" s="80"/>
      <c r="B39" s="80"/>
      <c r="C39" s="80"/>
    </row>
    <row r="40">
      <c r="A40" s="80"/>
      <c r="B40" s="37"/>
      <c r="C40" s="80"/>
    </row>
    <row r="41">
      <c r="A41" s="80"/>
      <c r="B41" s="37"/>
      <c r="C41" s="37"/>
    </row>
    <row r="42">
      <c r="A42" s="80"/>
      <c r="B42" s="37"/>
      <c r="C42" s="37"/>
    </row>
    <row r="43">
      <c r="A43" s="80"/>
      <c r="B43" s="37"/>
      <c r="C43" s="37"/>
    </row>
    <row r="44">
      <c r="A44" s="80"/>
      <c r="B44" s="37"/>
      <c r="C44" s="37"/>
    </row>
    <row r="45">
      <c r="A45" s="82"/>
      <c r="B45" s="82"/>
      <c r="C45" s="37"/>
    </row>
    <row r="46">
      <c r="C46" s="82"/>
    </row>
  </sheetData>
  <mergeCells count="15">
    <mergeCell ref="J7:K7"/>
    <mergeCell ref="M7:N7"/>
    <mergeCell ref="Q7:R7"/>
    <mergeCell ref="T7:U7"/>
    <mergeCell ref="O8:O9"/>
    <mergeCell ref="A8:B8"/>
    <mergeCell ref="A16:B16"/>
    <mergeCell ref="A23:B23"/>
    <mergeCell ref="A1:B1"/>
    <mergeCell ref="A2:B2"/>
    <mergeCell ref="A3:B3"/>
    <mergeCell ref="A4:B4"/>
    <mergeCell ref="A7:B7"/>
    <mergeCell ref="D7:E7"/>
    <mergeCell ref="G7:H7"/>
  </mergeCells>
  <hyperlinks>
    <hyperlink r:id="rId1" ref="A2"/>
    <hyperlink r:id="rId2" ref="A3"/>
    <hyperlink r:id="rId3" ref="A4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4.38"/>
    <col customWidth="1" min="2" max="2" width="34.75"/>
    <col customWidth="1" min="3" max="3" width="16.25"/>
    <col customWidth="1" min="4" max="4" width="25.75"/>
    <col customWidth="1" min="5" max="5" width="21.88"/>
    <col customWidth="1" min="7" max="8" width="20.88"/>
    <col customWidth="1" min="9" max="9" width="22.25"/>
    <col customWidth="1" min="10" max="10" width="29.13"/>
    <col customWidth="1" min="11" max="11" width="23.0"/>
    <col customWidth="1" min="12" max="14" width="29.25"/>
    <col customWidth="1" min="15" max="15" width="32.75"/>
    <col customWidth="1" min="16" max="16" width="29.25"/>
    <col customWidth="1" min="19" max="19" width="15.25"/>
    <col customWidth="1" min="26" max="26" width="25.88"/>
  </cols>
  <sheetData>
    <row r="1">
      <c r="A1" s="83"/>
      <c r="B1" s="84" t="s">
        <v>225</v>
      </c>
      <c r="C1" s="85"/>
      <c r="D1" s="85"/>
      <c r="E1" s="85"/>
      <c r="F1" s="43"/>
      <c r="G1" s="86" t="s">
        <v>226</v>
      </c>
      <c r="H1" s="86" t="s">
        <v>227</v>
      </c>
      <c r="I1" s="86" t="s">
        <v>228</v>
      </c>
      <c r="J1" s="86" t="s">
        <v>229</v>
      </c>
      <c r="K1" s="86" t="s">
        <v>230</v>
      </c>
      <c r="L1" s="86" t="s">
        <v>231</v>
      </c>
      <c r="M1" s="86" t="s">
        <v>232</v>
      </c>
      <c r="N1" s="86" t="s">
        <v>233</v>
      </c>
      <c r="O1" s="86" t="s">
        <v>234</v>
      </c>
      <c r="P1" s="86" t="s">
        <v>235</v>
      </c>
    </row>
    <row r="2">
      <c r="A2" s="87"/>
      <c r="B2" s="87"/>
      <c r="C2" s="88"/>
      <c r="D2" s="88"/>
      <c r="E2" s="88"/>
      <c r="F2" s="88"/>
      <c r="G2" s="89"/>
      <c r="H2" s="89"/>
      <c r="I2" s="89"/>
      <c r="J2" s="89"/>
      <c r="K2" s="89"/>
      <c r="L2" s="89"/>
      <c r="M2" s="89"/>
      <c r="N2" s="89"/>
      <c r="O2" s="89"/>
      <c r="P2" s="89"/>
    </row>
    <row r="3">
      <c r="A3" s="90" t="s">
        <v>236</v>
      </c>
      <c r="B3" s="90" t="s">
        <v>237</v>
      </c>
      <c r="C3" s="91" t="s">
        <v>238</v>
      </c>
      <c r="D3" s="91" t="s">
        <v>239</v>
      </c>
      <c r="E3" s="91" t="s">
        <v>240</v>
      </c>
      <c r="F3" s="90" t="s">
        <v>241</v>
      </c>
      <c r="G3" s="92"/>
      <c r="H3" s="92"/>
      <c r="I3" s="92"/>
      <c r="J3" s="92"/>
      <c r="K3" s="92"/>
      <c r="L3" s="92"/>
      <c r="M3" s="92"/>
      <c r="N3" s="92"/>
      <c r="O3" s="92"/>
      <c r="P3" s="92"/>
      <c r="Z3" s="93" t="s">
        <v>242</v>
      </c>
    </row>
    <row r="4">
      <c r="A4" s="94"/>
      <c r="B4" s="95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</row>
    <row r="5">
      <c r="A5" s="97" t="str">
        <f>'TRAMO MAS COMPROMETIDO'!A2</f>
        <v>Rio Gallegos</v>
      </c>
      <c r="B5" s="98" t="s">
        <v>243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</row>
    <row r="6">
      <c r="A6" s="67" t="s">
        <v>244</v>
      </c>
      <c r="B6" s="94"/>
      <c r="C6" s="96"/>
      <c r="D6" s="72">
        <f>'DATOS DE EQUIPOS'!B9</f>
        <v>1</v>
      </c>
      <c r="E6" s="72">
        <f>D6</f>
        <v>1</v>
      </c>
      <c r="F6" s="96"/>
      <c r="G6" s="72">
        <f>'DATOS DE EQUIPOS'!B11</f>
        <v>38</v>
      </c>
      <c r="H6" s="72">
        <v>38.0</v>
      </c>
      <c r="I6" s="89">
        <f>10^(H6/10)</f>
        <v>6309.573445</v>
      </c>
      <c r="J6" s="89">
        <f>HARMEAN(I6)/1</f>
        <v>6309.573445</v>
      </c>
      <c r="K6" s="89">
        <f>10*LOG10(J6)</f>
        <v>38</v>
      </c>
      <c r="L6" s="89"/>
      <c r="M6" s="72">
        <f>10^(N6/10)</f>
        <v>3296.097122</v>
      </c>
      <c r="N6" s="72">
        <v>35.18</v>
      </c>
      <c r="O6" s="89">
        <f>HARMEAN(M6)/1</f>
        <v>3296.097122</v>
      </c>
      <c r="P6" s="89">
        <f>10*LOG(O6)</f>
        <v>35.18</v>
      </c>
    </row>
    <row r="7">
      <c r="A7" s="67" t="s">
        <v>245</v>
      </c>
      <c r="B7" s="94"/>
      <c r="C7" s="96"/>
      <c r="D7" s="72">
        <v>-6.0</v>
      </c>
      <c r="E7" s="89">
        <f t="shared" ref="E7:E11" si="1">D7+E6</f>
        <v>-5</v>
      </c>
      <c r="F7" s="96"/>
      <c r="G7" s="89"/>
      <c r="H7" s="89"/>
      <c r="I7" s="89"/>
      <c r="J7" s="89"/>
      <c r="K7" s="89"/>
      <c r="L7" s="89"/>
      <c r="M7" s="89"/>
      <c r="N7" s="89"/>
      <c r="O7" s="89"/>
      <c r="P7" s="89"/>
    </row>
    <row r="8">
      <c r="A8" s="72" t="s">
        <v>246</v>
      </c>
      <c r="B8" s="94"/>
      <c r="C8" s="96"/>
      <c r="D8" s="72">
        <v>-5.0</v>
      </c>
      <c r="E8" s="89">
        <f t="shared" si="1"/>
        <v>-10</v>
      </c>
      <c r="F8" s="96"/>
      <c r="G8" s="89"/>
      <c r="H8" s="89"/>
      <c r="I8" s="89"/>
      <c r="J8" s="89"/>
      <c r="K8" s="89"/>
      <c r="L8" s="89"/>
      <c r="M8" s="89"/>
      <c r="N8" s="89"/>
      <c r="O8" s="89"/>
      <c r="P8" s="89"/>
    </row>
    <row r="9">
      <c r="A9" s="100" t="s">
        <v>247</v>
      </c>
      <c r="B9" s="101"/>
      <c r="C9" s="96"/>
      <c r="D9" s="72">
        <f>IF(E8 &gt; -14.8, -14.8 - E8, 0)</f>
        <v>-4.8</v>
      </c>
      <c r="E9" s="89">
        <f t="shared" si="1"/>
        <v>-14.8</v>
      </c>
      <c r="F9" s="96"/>
      <c r="G9" s="72"/>
      <c r="H9" s="89"/>
      <c r="I9" s="89"/>
      <c r="J9" s="89"/>
      <c r="K9" s="89"/>
      <c r="L9" s="102"/>
      <c r="M9" s="89"/>
      <c r="N9" s="89"/>
      <c r="O9" s="89"/>
      <c r="P9" s="89"/>
    </row>
    <row r="10">
      <c r="A10" s="100" t="s">
        <v>248</v>
      </c>
      <c r="B10" s="101"/>
      <c r="C10" s="96"/>
      <c r="D10" s="72">
        <v>18.0</v>
      </c>
      <c r="E10" s="89">
        <f t="shared" si="1"/>
        <v>3.2</v>
      </c>
      <c r="F10" s="96"/>
      <c r="G10" s="72">
        <f>'DATOS DE EQUIPOS'!E14</f>
        <v>6.5</v>
      </c>
      <c r="H10" s="89">
        <f>E9+158.9-10*LOG10('DATOS DE EQUIPOS'!B14)-G10</f>
        <v>36.63089987</v>
      </c>
      <c r="I10" s="89">
        <f>10^(H10/10)</f>
        <v>4603.519499</v>
      </c>
      <c r="J10" s="89">
        <f>HARMEAN(I6:I10)/2</f>
        <v>2661.595987</v>
      </c>
      <c r="K10" s="89">
        <f>10*LOG10(J10)</f>
        <v>34.25142133</v>
      </c>
      <c r="L10" s="102">
        <f>(2/3)^3*'DATOS DE EQUIPOS'!$R$8*'DATOS DE EQUIPOS'!$R$9^2*'NO LINEALIDADES'!E3*(10^(E10/10)*0.001)^2*LOG10(PI()^2*ABS('DATOS DE EQUIPOS'!$R$10*10^(-24))*'NO LINEALIDADES'!E3*'DATOS DE EQUIPOS'!$R$11^2*'DATOS DE EQUIPOS'!$R$12^2)*'DATOS DE EQUIPOS'!$R$13/(PI()*ABS('DATOS DE EQUIPOS'!$R$10*10^(-24))*'DATOS DE EQUIPOS'!$R$12^3)</f>
        <v>0.0004291962058</v>
      </c>
      <c r="M10" s="89">
        <f>1/L10</f>
        <v>2329.93672</v>
      </c>
      <c r="N10" s="89">
        <f>10*LOG10(M10)</f>
        <v>33.67344126</v>
      </c>
      <c r="O10" s="89">
        <f>HARMEAN(M6:M10)/2</f>
        <v>1365.02871</v>
      </c>
      <c r="P10" s="89">
        <f>10*LOG(O10)</f>
        <v>31.35141786</v>
      </c>
    </row>
    <row r="11">
      <c r="A11" s="67" t="s">
        <v>249</v>
      </c>
      <c r="B11" s="103">
        <f>'TRAMO MAS COMPROMETIDO'!C2</f>
        <v>87</v>
      </c>
      <c r="C11" s="72">
        <v>-0.235</v>
      </c>
      <c r="D11" s="89">
        <f>B11*C11</f>
        <v>-20.445</v>
      </c>
      <c r="E11" s="89">
        <f t="shared" si="1"/>
        <v>-17.245</v>
      </c>
      <c r="F11" s="72"/>
      <c r="G11" s="89"/>
      <c r="H11" s="89"/>
      <c r="I11" s="89"/>
      <c r="J11" s="89"/>
      <c r="K11" s="89"/>
      <c r="L11" s="102"/>
      <c r="M11" s="89"/>
      <c r="N11" s="89"/>
      <c r="O11" s="89"/>
      <c r="P11" s="89"/>
    </row>
    <row r="12">
      <c r="A12" s="96"/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104"/>
      <c r="M12" s="96"/>
      <c r="N12" s="96"/>
      <c r="O12" s="96"/>
      <c r="P12" s="96"/>
    </row>
    <row r="13">
      <c r="A13" s="105" t="str">
        <f>'TRAMO MAS COMPROMETIDO'!A3</f>
        <v>Coy Aike</v>
      </c>
      <c r="B13" s="106" t="s">
        <v>250</v>
      </c>
      <c r="C13" s="107"/>
      <c r="D13" s="107"/>
      <c r="E13" s="107"/>
      <c r="F13" s="107"/>
      <c r="G13" s="107"/>
      <c r="H13" s="107"/>
      <c r="I13" s="107"/>
      <c r="J13" s="107"/>
      <c r="K13" s="107"/>
      <c r="L13" s="108"/>
      <c r="M13" s="107"/>
      <c r="N13" s="107"/>
      <c r="O13" s="107"/>
      <c r="P13" s="107"/>
    </row>
    <row r="14">
      <c r="A14" s="100" t="s">
        <v>247</v>
      </c>
      <c r="B14" s="94"/>
      <c r="C14" s="94"/>
      <c r="D14" s="109">
        <f>IF(D15 &gt; 0, IF(E11 &gt; -18.8, -18.8 - E11, 0), 0)</f>
        <v>-1.555</v>
      </c>
      <c r="E14" s="110">
        <f>D14+E11</f>
        <v>-18.8</v>
      </c>
      <c r="F14" s="94"/>
      <c r="G14" s="89"/>
      <c r="H14" s="89"/>
      <c r="I14" s="89"/>
      <c r="J14" s="89"/>
      <c r="K14" s="89"/>
      <c r="L14" s="102"/>
      <c r="M14" s="89"/>
      <c r="N14" s="89"/>
      <c r="O14" s="89"/>
      <c r="P14" s="89"/>
    </row>
    <row r="15">
      <c r="A15" s="67" t="s">
        <v>156</v>
      </c>
      <c r="B15" s="94"/>
      <c r="C15" s="94"/>
      <c r="D15" s="109">
        <v>22.0</v>
      </c>
      <c r="E15" s="110">
        <f t="shared" ref="E15:E16" si="2">D15+E14</f>
        <v>3.2</v>
      </c>
      <c r="F15" s="94"/>
      <c r="G15" s="72">
        <f>'DATOS DE EQUIPOS'!H8</f>
        <v>5.5</v>
      </c>
      <c r="H15" s="89">
        <f>E14+158.9-10*LOG10('DATOS DE EQUIPOS'!B14)-G15</f>
        <v>33.63089987</v>
      </c>
      <c r="I15" s="89">
        <f>10^(H15/10)</f>
        <v>2307.225203</v>
      </c>
      <c r="J15" s="72">
        <f>HARMEAN(I6:I15)/3</f>
        <v>1235.886965</v>
      </c>
      <c r="K15" s="89">
        <f>10*LOG10(J15)</f>
        <v>30.91978752</v>
      </c>
      <c r="L15" s="102">
        <f>(2/3)^3*'DATOS DE EQUIPOS'!$R$8*'DATOS DE EQUIPOS'!$R$9^2*'NO LINEALIDADES'!E4*(10^(E15/10)*0.001)^2*LOG10(PI()^2*ABS('DATOS DE EQUIPOS'!$R$10*10^(-24))*'NO LINEALIDADES'!E4*'DATOS DE EQUIPOS'!$R$11^2*'DATOS DE EQUIPOS'!$R$12^2)*'DATOS DE EQUIPOS'!$R$13/(PI()*ABS('DATOS DE EQUIPOS'!$R$10*10^(-24))*'DATOS DE EQUIPOS'!$R$12^3)</f>
        <v>0.000424916999</v>
      </c>
      <c r="M15" s="89">
        <f>1/L15</f>
        <v>2353.400787</v>
      </c>
      <c r="N15" s="89">
        <f>10*LOG10(M15)</f>
        <v>33.71695894</v>
      </c>
      <c r="O15" s="89">
        <f>HARMEAN(M6:M15)/3</f>
        <v>863.9291515</v>
      </c>
      <c r="P15" s="89">
        <f>10*LOG(O15)</f>
        <v>29.36478129</v>
      </c>
    </row>
    <row r="16">
      <c r="A16" s="67" t="s">
        <v>249</v>
      </c>
      <c r="B16" s="27">
        <f>'TRAMO MAS COMPROMETIDO'!C3</f>
        <v>75</v>
      </c>
      <c r="C16" s="110">
        <v>-0.235</v>
      </c>
      <c r="D16" s="110">
        <f>B16*C16</f>
        <v>-17.625</v>
      </c>
      <c r="E16" s="110">
        <f t="shared" si="2"/>
        <v>-14.425</v>
      </c>
      <c r="F16" s="110"/>
      <c r="G16" s="89"/>
      <c r="H16" s="89"/>
      <c r="I16" s="89"/>
      <c r="J16" s="89"/>
      <c r="K16" s="89"/>
      <c r="L16" s="102"/>
      <c r="M16" s="89"/>
      <c r="N16" s="89"/>
      <c r="O16" s="89"/>
      <c r="P16" s="89"/>
    </row>
    <row r="17">
      <c r="A17" s="111"/>
      <c r="B17" s="94"/>
      <c r="C17" s="96"/>
      <c r="D17" s="96"/>
      <c r="E17" s="96"/>
      <c r="F17" s="96"/>
      <c r="G17" s="96"/>
      <c r="H17" s="96"/>
      <c r="I17" s="96"/>
      <c r="J17" s="96"/>
      <c r="K17" s="96"/>
      <c r="L17" s="104"/>
      <c r="M17" s="96"/>
      <c r="N17" s="96"/>
      <c r="O17" s="96"/>
      <c r="P17" s="96"/>
    </row>
    <row r="18">
      <c r="A18" s="112" t="str">
        <f>'TRAMO MAS COMPROMETIDO'!A4</f>
        <v>Cañadon de las Vacas</v>
      </c>
      <c r="B18" s="106" t="s">
        <v>250</v>
      </c>
      <c r="C18" s="107"/>
      <c r="D18" s="107"/>
      <c r="E18" s="107"/>
      <c r="F18" s="107"/>
      <c r="G18" s="107"/>
      <c r="H18" s="107"/>
      <c r="I18" s="107"/>
      <c r="J18" s="107"/>
      <c r="K18" s="107"/>
      <c r="L18" s="108"/>
      <c r="M18" s="107"/>
      <c r="N18" s="107"/>
      <c r="O18" s="107"/>
      <c r="P18" s="107"/>
    </row>
    <row r="19">
      <c r="A19" s="100" t="s">
        <v>247</v>
      </c>
      <c r="B19" s="94"/>
      <c r="C19" s="96"/>
      <c r="D19" s="72">
        <f>IF(D20 &gt; 0, IF(E16 &gt; -18.8, -18.8 - E16, 0), 0)</f>
        <v>-4.375</v>
      </c>
      <c r="E19" s="89">
        <f>D19+E16</f>
        <v>-18.8</v>
      </c>
      <c r="F19" s="96"/>
      <c r="G19" s="89"/>
      <c r="H19" s="89"/>
      <c r="I19" s="89"/>
      <c r="J19" s="89"/>
      <c r="K19" s="89"/>
      <c r="L19" s="102"/>
      <c r="M19" s="89"/>
      <c r="N19" s="89"/>
      <c r="O19" s="89"/>
      <c r="P19" s="89"/>
    </row>
    <row r="20">
      <c r="A20" s="100" t="s">
        <v>156</v>
      </c>
      <c r="B20" s="94"/>
      <c r="C20" s="96"/>
      <c r="D20" s="72">
        <v>22.0</v>
      </c>
      <c r="E20" s="89">
        <f t="shared" ref="E20:E21" si="3">D20+E19</f>
        <v>3.2</v>
      </c>
      <c r="F20" s="96"/>
      <c r="G20" s="72">
        <f>'DATOS DE EQUIPOS'!H8</f>
        <v>5.5</v>
      </c>
      <c r="H20" s="89">
        <f>E19+158.9-10*LOG10('DATOS DE EQUIPOS'!B14)-G20</f>
        <v>33.63089987</v>
      </c>
      <c r="I20" s="89">
        <f>10^(H20/10)</f>
        <v>2307.225203</v>
      </c>
      <c r="J20" s="89">
        <f>HARMEAN(I6:I20)/4</f>
        <v>804.7923459</v>
      </c>
      <c r="K20" s="89">
        <f>10*LOG10(J20)</f>
        <v>29.05683837</v>
      </c>
      <c r="L20" s="102">
        <f>(2/3)^3*'DATOS DE EQUIPOS'!$R$8*'DATOS DE EQUIPOS'!$R$9^2*'NO LINEALIDADES'!E5*(10^(E20/10)*0.001)^2*LOG10(PI()^2*ABS('DATOS DE EQUIPOS'!$R$10*10^(-24))*'NO LINEALIDADES'!E5*'DATOS DE EQUIPOS'!$R$11^2*'DATOS DE EQUIPOS'!$R$12^2)*'DATOS DE EQUIPOS'!$R$13/(PI()*ABS('DATOS DE EQUIPOS'!$R$10*10^(-24))*'DATOS DE EQUIPOS'!$R$12^3)</f>
        <v>0.0004262530919</v>
      </c>
      <c r="M20" s="89">
        <f>1/L20</f>
        <v>2346.024038</v>
      </c>
      <c r="N20" s="89">
        <f>10*LOG10(M20)</f>
        <v>33.70332458</v>
      </c>
      <c r="O20" s="89">
        <f>HARMEAN(M16:M20)/4</f>
        <v>586.5060096</v>
      </c>
      <c r="P20" s="89">
        <f>10*LOG(O20)</f>
        <v>27.68272466</v>
      </c>
    </row>
    <row r="21">
      <c r="A21" s="67" t="s">
        <v>249</v>
      </c>
      <c r="B21" s="27">
        <f>'TRAMO MAS COMPROMETIDO'!C4</f>
        <v>78</v>
      </c>
      <c r="C21" s="72">
        <v>-0.235</v>
      </c>
      <c r="D21" s="89">
        <f>B21*C21</f>
        <v>-18.33</v>
      </c>
      <c r="E21" s="89">
        <f t="shared" si="3"/>
        <v>-15.13</v>
      </c>
      <c r="F21" s="89"/>
      <c r="G21" s="89"/>
      <c r="H21" s="89"/>
      <c r="I21" s="89"/>
      <c r="K21" s="89"/>
      <c r="L21" s="102"/>
      <c r="M21" s="89"/>
      <c r="N21" s="89"/>
      <c r="O21" s="89"/>
      <c r="P21" s="89"/>
    </row>
    <row r="22">
      <c r="A22" s="94"/>
      <c r="B22" s="94"/>
      <c r="C22" s="96"/>
      <c r="D22" s="96"/>
      <c r="E22" s="96"/>
      <c r="F22" s="96"/>
      <c r="G22" s="96"/>
      <c r="H22" s="96"/>
      <c r="I22" s="96"/>
      <c r="J22" s="96"/>
      <c r="K22" s="96"/>
      <c r="L22" s="104"/>
      <c r="M22" s="96"/>
      <c r="N22" s="96"/>
      <c r="O22" s="96"/>
      <c r="P22" s="96"/>
    </row>
    <row r="23">
      <c r="A23" s="113" t="str">
        <f>'TRAMO MAS COMPROMETIDO'!A5</f>
        <v>Luis Piedrabuena</v>
      </c>
      <c r="B23" s="114"/>
      <c r="C23" s="115"/>
      <c r="D23" s="115"/>
      <c r="E23" s="115"/>
      <c r="F23" s="115"/>
      <c r="G23" s="115"/>
      <c r="H23" s="115"/>
      <c r="I23" s="115"/>
      <c r="J23" s="115"/>
      <c r="K23" s="115"/>
      <c r="L23" s="116"/>
      <c r="M23" s="115"/>
      <c r="N23" s="115"/>
      <c r="O23" s="115"/>
      <c r="P23" s="115"/>
    </row>
    <row r="24">
      <c r="A24" s="72" t="s">
        <v>251</v>
      </c>
      <c r="B24" s="94"/>
      <c r="C24" s="96"/>
      <c r="D24" s="72">
        <f>IF(D25 &gt; 0, IF(E21 &gt; -18.8, -18.8 - E21, 0), 0)</f>
        <v>-3.67</v>
      </c>
      <c r="E24" s="89">
        <f>D24+E21</f>
        <v>-18.8</v>
      </c>
      <c r="F24" s="96"/>
      <c r="G24" s="89"/>
      <c r="H24" s="89"/>
      <c r="I24" s="89"/>
      <c r="J24" s="89"/>
      <c r="K24" s="89"/>
      <c r="L24" s="102"/>
      <c r="M24" s="89"/>
      <c r="N24" s="89"/>
      <c r="O24" s="89"/>
      <c r="P24" s="89"/>
      <c r="R24" s="82"/>
    </row>
    <row r="25">
      <c r="A25" s="72" t="s">
        <v>252</v>
      </c>
      <c r="B25" s="94"/>
      <c r="C25" s="96"/>
      <c r="D25" s="72">
        <v>22.0</v>
      </c>
      <c r="E25" s="89">
        <f t="shared" ref="E25:E30" si="4">D25+E24</f>
        <v>3.2</v>
      </c>
      <c r="F25" s="96"/>
      <c r="G25" s="72">
        <f>'DATOS DE EQUIPOS'!E10</f>
        <v>8</v>
      </c>
      <c r="H25" s="89">
        <f>E24+158.9-10*LOG10('DATOS DE EQUIPOS'!B14)-G25</f>
        <v>31.13089987</v>
      </c>
      <c r="I25" s="89">
        <f>10^(H25/10)</f>
        <v>1297.448078</v>
      </c>
      <c r="J25" s="89">
        <f>HARMEAN(I6:I25)/5</f>
        <v>496.6968908</v>
      </c>
      <c r="K25" s="89">
        <f>10*LOG10(J25)</f>
        <v>26.96091441</v>
      </c>
      <c r="L25" s="102"/>
      <c r="M25" s="89"/>
      <c r="N25" s="89"/>
      <c r="O25" s="89"/>
      <c r="P25" s="89"/>
      <c r="R25" s="82"/>
    </row>
    <row r="26">
      <c r="A26" s="109" t="s">
        <v>253</v>
      </c>
      <c r="B26" s="117"/>
      <c r="C26" s="117"/>
      <c r="D26" s="118">
        <v>-5.0</v>
      </c>
      <c r="E26" s="110">
        <f t="shared" si="4"/>
        <v>-1.8</v>
      </c>
      <c r="F26" s="117"/>
      <c r="G26" s="119"/>
      <c r="H26" s="119"/>
      <c r="I26" s="119"/>
      <c r="J26" s="119"/>
      <c r="K26" s="119"/>
      <c r="L26" s="102"/>
      <c r="M26" s="119"/>
      <c r="N26" s="119"/>
      <c r="O26" s="119"/>
      <c r="P26" s="119"/>
      <c r="R26" s="82"/>
    </row>
    <row r="27">
      <c r="A27" s="72" t="s">
        <v>246</v>
      </c>
      <c r="B27" s="94"/>
      <c r="C27" s="96"/>
      <c r="D27" s="72">
        <v>-5.0</v>
      </c>
      <c r="E27" s="89">
        <f t="shared" si="4"/>
        <v>-6.8</v>
      </c>
      <c r="F27" s="96"/>
      <c r="G27" s="89"/>
      <c r="H27" s="89"/>
      <c r="I27" s="89"/>
      <c r="J27" s="89"/>
      <c r="K27" s="89"/>
      <c r="L27" s="102"/>
      <c r="M27" s="89"/>
      <c r="N27" s="89"/>
      <c r="O27" s="89"/>
      <c r="P27" s="89"/>
      <c r="R27" s="82"/>
    </row>
    <row r="28">
      <c r="A28" s="72" t="s">
        <v>247</v>
      </c>
      <c r="B28" s="94"/>
      <c r="C28" s="96"/>
      <c r="D28" s="72">
        <f>IF(E27 &gt; -14.8, -14.8 - E27, 0)</f>
        <v>-8</v>
      </c>
      <c r="E28" s="89">
        <f t="shared" si="4"/>
        <v>-14.8</v>
      </c>
      <c r="F28" s="96"/>
      <c r="G28" s="72"/>
      <c r="H28" s="89"/>
      <c r="I28" s="89"/>
      <c r="J28" s="89"/>
      <c r="K28" s="89"/>
      <c r="L28" s="102"/>
      <c r="M28" s="89"/>
      <c r="N28" s="89"/>
      <c r="O28" s="89"/>
      <c r="P28" s="89"/>
    </row>
    <row r="29">
      <c r="A29" s="72" t="s">
        <v>254</v>
      </c>
      <c r="B29" s="94"/>
      <c r="C29" s="96"/>
      <c r="D29" s="72">
        <v>18.0</v>
      </c>
      <c r="E29" s="89">
        <f t="shared" si="4"/>
        <v>3.2</v>
      </c>
      <c r="F29" s="96"/>
      <c r="G29" s="72">
        <f>'DATOS DE EQUIPOS'!E14</f>
        <v>6.5</v>
      </c>
      <c r="H29" s="89">
        <f>E28+158.9-10*LOG10('DATOS DE EQUIPOS'!B14)-G29</f>
        <v>36.63089987</v>
      </c>
      <c r="I29" s="89">
        <f>10^(H29/10)</f>
        <v>4603.519499</v>
      </c>
      <c r="J29" s="89">
        <f>HARMEAN(I6:I29)/6</f>
        <v>448.3248645</v>
      </c>
      <c r="K29" s="89">
        <f>10*LOG10(J29)</f>
        <v>26.51592826</v>
      </c>
      <c r="L29" s="102">
        <f>(2/3)^3*'DATOS DE EQUIPOS'!$R$8*'DATOS DE EQUIPOS'!$R$9^2*'NO LINEALIDADES'!E6*(10^(E29/10)*0.001)^2*LOG10(PI()^2*ABS('DATOS DE EQUIPOS'!$R$10*10^(-24))*'NO LINEALIDADES'!E6*'DATOS DE EQUIPOS'!$R$11^2*'DATOS DE EQUIPOS'!$R$12^2)*'DATOS DE EQUIPOS'!$R$13/(PI()*ABS('DATOS DE EQUIPOS'!$R$10*10^(-24))*'DATOS DE EQUIPOS'!$R$12^3)</f>
        <v>0.0003548299878</v>
      </c>
      <c r="M29" s="89">
        <f>1/L29</f>
        <v>2818.251091</v>
      </c>
      <c r="N29" s="89">
        <f>10*LOG10(M29)</f>
        <v>34.49979684</v>
      </c>
      <c r="O29" s="89">
        <f>HARMEAN(M6:M29)/5</f>
        <v>515.8400546</v>
      </c>
      <c r="P29" s="89">
        <f>10*LOG(O29)</f>
        <v>27.12515062</v>
      </c>
    </row>
    <row r="30">
      <c r="A30" s="67" t="s">
        <v>249</v>
      </c>
      <c r="B30" s="27">
        <f>'TRAMO MAS COMPROMETIDO'!C5</f>
        <v>34</v>
      </c>
      <c r="C30" s="72">
        <v>-0.235</v>
      </c>
      <c r="D30" s="89">
        <f>B30*C30</f>
        <v>-7.99</v>
      </c>
      <c r="E30" s="89">
        <f t="shared" si="4"/>
        <v>-4.79</v>
      </c>
      <c r="F30" s="89"/>
      <c r="G30" s="89"/>
      <c r="H30" s="89"/>
      <c r="I30" s="89"/>
      <c r="J30" s="89"/>
      <c r="K30" s="89"/>
      <c r="L30" s="102"/>
      <c r="M30" s="89"/>
      <c r="N30" s="89"/>
      <c r="O30" s="89"/>
      <c r="P30" s="89"/>
    </row>
    <row r="31">
      <c r="A31" s="94"/>
      <c r="B31" s="94"/>
      <c r="C31" s="96"/>
      <c r="D31" s="96"/>
      <c r="E31" s="96"/>
      <c r="F31" s="96"/>
      <c r="G31" s="96"/>
      <c r="H31" s="96"/>
      <c r="I31" s="96"/>
      <c r="J31" s="96"/>
      <c r="K31" s="96"/>
      <c r="L31" s="104"/>
      <c r="M31" s="96"/>
      <c r="N31" s="96"/>
      <c r="O31" s="96"/>
      <c r="P31" s="96"/>
    </row>
    <row r="32">
      <c r="A32" s="112" t="str">
        <f>'TRAMO MAS COMPROMETIDO'!A6</f>
        <v>Lago Posadas</v>
      </c>
      <c r="B32" s="106" t="s">
        <v>250</v>
      </c>
      <c r="C32" s="107"/>
      <c r="D32" s="107"/>
      <c r="E32" s="107"/>
      <c r="F32" s="107"/>
      <c r="G32" s="107"/>
      <c r="H32" s="107"/>
      <c r="I32" s="107"/>
      <c r="J32" s="107"/>
      <c r="K32" s="107"/>
      <c r="L32" s="108"/>
      <c r="M32" s="107"/>
      <c r="N32" s="107"/>
      <c r="O32" s="107"/>
      <c r="P32" s="107"/>
    </row>
    <row r="33">
      <c r="A33" s="100" t="s">
        <v>247</v>
      </c>
      <c r="B33" s="94"/>
      <c r="C33" s="120"/>
      <c r="D33" s="72">
        <f>IF(D34 &gt; 0, IF(E30 &gt; -18.8, -18.8 - E30, 0), 0)</f>
        <v>-14.01</v>
      </c>
      <c r="E33" s="89">
        <f>D33+E30</f>
        <v>-18.8</v>
      </c>
      <c r="F33" s="96"/>
      <c r="G33" s="89"/>
      <c r="H33" s="89"/>
      <c r="I33" s="89"/>
      <c r="J33" s="89"/>
      <c r="K33" s="89"/>
      <c r="L33" s="102"/>
      <c r="M33" s="89"/>
      <c r="N33" s="89"/>
      <c r="O33" s="89"/>
      <c r="P33" s="89"/>
    </row>
    <row r="34">
      <c r="A34" s="100" t="s">
        <v>156</v>
      </c>
      <c r="B34" s="94"/>
      <c r="C34" s="120"/>
      <c r="D34" s="72">
        <v>22.0</v>
      </c>
      <c r="E34" s="89">
        <f t="shared" ref="E34:E35" si="5">D34+E33</f>
        <v>3.2</v>
      </c>
      <c r="F34" s="96"/>
      <c r="G34" s="89">
        <f>'DATOS DE EQUIPOS'!H8</f>
        <v>5.5</v>
      </c>
      <c r="H34" s="89">
        <f>E33+158.9-10*LOG10('DATOS DE EQUIPOS'!B14)-G34</f>
        <v>33.63089987</v>
      </c>
      <c r="I34" s="89">
        <f>10^(H34/10)</f>
        <v>2307.225203</v>
      </c>
      <c r="J34" s="89">
        <f>HARMEAN(I6:I34)/7</f>
        <v>375.3829185</v>
      </c>
      <c r="K34" s="89">
        <f>10*LOG10(J34)</f>
        <v>25.74474507</v>
      </c>
      <c r="L34" s="102">
        <f>(2/3)^3*'DATOS DE EQUIPOS'!$R$8*'DATOS DE EQUIPOS'!$R$9^2*'NO LINEALIDADES'!E7*(10^(E34/10)*0.001)^2*LOG10(PI()^2*ABS('DATOS DE EQUIPOS'!$R$10*10^(-24))*'NO LINEALIDADES'!E7*'DATOS DE EQUIPOS'!$R$11^2*'DATOS DE EQUIPOS'!$R$12^2)*'DATOS DE EQUIPOS'!$R$13/(PI()*ABS('DATOS DE EQUIPOS'!$R$10*10^(-24))*'DATOS DE EQUIPOS'!$R$12^3)</f>
        <v>0.000429904497</v>
      </c>
      <c r="M34" s="89">
        <f>1/L34</f>
        <v>2326.098022</v>
      </c>
      <c r="N34" s="89">
        <f>10*LOG10(M34)</f>
        <v>33.66628012</v>
      </c>
      <c r="O34" s="89">
        <f>HARMEAN(M6:M34)/6</f>
        <v>422.2099491</v>
      </c>
      <c r="P34" s="89">
        <f>10*LOG(O34)</f>
        <v>26.25528463</v>
      </c>
    </row>
    <row r="35">
      <c r="A35" s="67" t="s">
        <v>249</v>
      </c>
      <c r="B35" s="27">
        <f>'TRAMO MAS COMPROMETIDO'!C6</f>
        <v>90</v>
      </c>
      <c r="C35" s="72">
        <v>-0.235</v>
      </c>
      <c r="D35" s="89">
        <f>B35*C35</f>
        <v>-21.15</v>
      </c>
      <c r="E35" s="89">
        <f t="shared" si="5"/>
        <v>-17.95</v>
      </c>
      <c r="F35" s="89"/>
      <c r="G35" s="89"/>
      <c r="H35" s="89"/>
      <c r="I35" s="89"/>
      <c r="J35" s="89"/>
      <c r="K35" s="89"/>
      <c r="L35" s="102"/>
      <c r="M35" s="89"/>
      <c r="N35" s="89"/>
      <c r="O35" s="89"/>
      <c r="P35" s="89"/>
    </row>
    <row r="36">
      <c r="A36" s="94"/>
      <c r="B36" s="94"/>
      <c r="C36" s="96"/>
      <c r="D36" s="96"/>
      <c r="E36" s="96"/>
      <c r="F36" s="96"/>
      <c r="G36" s="96"/>
      <c r="H36" s="96"/>
      <c r="I36" s="96"/>
      <c r="J36" s="96"/>
      <c r="K36" s="96"/>
      <c r="L36" s="104"/>
      <c r="M36" s="96"/>
      <c r="N36" s="96"/>
      <c r="O36" s="96"/>
      <c r="P36" s="96"/>
    </row>
    <row r="37">
      <c r="A37" s="113" t="str">
        <f>'TRAMO MAS COMPROMETIDO'!A7</f>
        <v>Puerto San Julian</v>
      </c>
      <c r="B37" s="121"/>
      <c r="C37" s="115"/>
      <c r="D37" s="115"/>
      <c r="E37" s="115"/>
      <c r="F37" s="115"/>
      <c r="G37" s="115"/>
      <c r="H37" s="115"/>
      <c r="I37" s="115"/>
      <c r="J37" s="115"/>
      <c r="K37" s="115"/>
      <c r="L37" s="116"/>
      <c r="M37" s="115"/>
      <c r="N37" s="115"/>
      <c r="O37" s="115"/>
      <c r="P37" s="115"/>
    </row>
    <row r="38">
      <c r="A38" s="72" t="s">
        <v>251</v>
      </c>
      <c r="B38" s="94"/>
      <c r="C38" s="96"/>
      <c r="D38" s="72">
        <f>IF(D39 &gt; 0, IF(E35 &gt; -18.8, -18.8 - E35, 0), 0)</f>
        <v>-0.85</v>
      </c>
      <c r="E38" s="89">
        <f>D38+E35</f>
        <v>-18.8</v>
      </c>
      <c r="F38" s="96"/>
      <c r="G38" s="89"/>
      <c r="H38" s="89"/>
      <c r="I38" s="89"/>
      <c r="J38" s="89"/>
      <c r="K38" s="89"/>
      <c r="L38" s="102"/>
      <c r="M38" s="89"/>
      <c r="N38" s="89"/>
      <c r="O38" s="89"/>
      <c r="P38" s="89"/>
      <c r="R38" s="82"/>
    </row>
    <row r="39">
      <c r="A39" s="72" t="s">
        <v>252</v>
      </c>
      <c r="B39" s="94"/>
      <c r="C39" s="96"/>
      <c r="D39" s="72">
        <v>22.0</v>
      </c>
      <c r="E39" s="89">
        <f t="shared" ref="E39:E44" si="6">D39+E38</f>
        <v>3.2</v>
      </c>
      <c r="F39" s="96"/>
      <c r="G39" s="89">
        <f>'DATOS DE EQUIPOS'!E10</f>
        <v>8</v>
      </c>
      <c r="H39" s="89">
        <f>E38+158.9-10*LOG10('DATOS DE EQUIPOS'!B14)-G39</f>
        <v>31.13089987</v>
      </c>
      <c r="I39" s="89">
        <f>10^(H39/10)</f>
        <v>1297.448078</v>
      </c>
      <c r="J39" s="89">
        <f>HARMEAN(I6:I39)/8</f>
        <v>291.1470717</v>
      </c>
      <c r="K39" s="89">
        <f>10*LOG10(J39)</f>
        <v>24.64112426</v>
      </c>
      <c r="L39" s="102"/>
      <c r="M39" s="89"/>
      <c r="N39" s="89"/>
      <c r="O39" s="89"/>
      <c r="P39" s="89"/>
      <c r="R39" s="82"/>
    </row>
    <row r="40">
      <c r="A40" s="109" t="s">
        <v>253</v>
      </c>
      <c r="B40" s="117"/>
      <c r="C40" s="117"/>
      <c r="D40" s="118">
        <v>-5.0</v>
      </c>
      <c r="E40" s="110">
        <f t="shared" si="6"/>
        <v>-1.8</v>
      </c>
      <c r="F40" s="117"/>
      <c r="G40" s="119"/>
      <c r="H40" s="119"/>
      <c r="I40" s="119"/>
      <c r="J40" s="119"/>
      <c r="K40" s="119"/>
      <c r="L40" s="102"/>
      <c r="M40" s="119"/>
      <c r="N40" s="119"/>
      <c r="O40" s="119"/>
      <c r="P40" s="119"/>
      <c r="R40" s="82"/>
    </row>
    <row r="41">
      <c r="A41" s="72" t="s">
        <v>246</v>
      </c>
      <c r="B41" s="94"/>
      <c r="C41" s="96"/>
      <c r="D41" s="72">
        <v>-5.0</v>
      </c>
      <c r="E41" s="89">
        <f t="shared" si="6"/>
        <v>-6.8</v>
      </c>
      <c r="F41" s="96"/>
      <c r="G41" s="89"/>
      <c r="H41" s="89"/>
      <c r="I41" s="89"/>
      <c r="J41" s="89"/>
      <c r="K41" s="89"/>
      <c r="L41" s="102"/>
      <c r="M41" s="89"/>
      <c r="N41" s="89"/>
      <c r="O41" s="89"/>
      <c r="P41" s="89"/>
      <c r="R41" s="82"/>
    </row>
    <row r="42">
      <c r="A42" s="72" t="s">
        <v>247</v>
      </c>
      <c r="B42" s="94"/>
      <c r="C42" s="96"/>
      <c r="D42" s="72">
        <f>IF(E41 &gt; -14.8, -14.8 - E41, 0)</f>
        <v>-8</v>
      </c>
      <c r="E42" s="89">
        <f t="shared" si="6"/>
        <v>-14.8</v>
      </c>
      <c r="F42" s="96"/>
      <c r="G42" s="89"/>
      <c r="H42" s="89"/>
      <c r="I42" s="89"/>
      <c r="J42" s="89"/>
      <c r="K42" s="89"/>
      <c r="L42" s="102"/>
      <c r="M42" s="89"/>
      <c r="N42" s="89"/>
      <c r="O42" s="89"/>
      <c r="P42" s="89"/>
    </row>
    <row r="43">
      <c r="A43" s="72" t="s">
        <v>254</v>
      </c>
      <c r="B43" s="94"/>
      <c r="C43" s="96"/>
      <c r="D43" s="72">
        <v>18.0</v>
      </c>
      <c r="E43" s="89">
        <f t="shared" si="6"/>
        <v>3.2</v>
      </c>
      <c r="F43" s="96"/>
      <c r="G43" s="89">
        <f>'DATOS DE EQUIPOS'!E14</f>
        <v>6.5</v>
      </c>
      <c r="H43" s="89">
        <f>E42+158.9-10*LOG10('DATOS DE EQUIPOS'!B14)-G43</f>
        <v>36.63089987</v>
      </c>
      <c r="I43" s="89">
        <f>10^(H43/10)</f>
        <v>4603.519499</v>
      </c>
      <c r="J43" s="89">
        <f>HARMEAN(I6:I43)/9</f>
        <v>273.828912</v>
      </c>
      <c r="K43" s="89">
        <f>10*LOG10(J43)</f>
        <v>24.37479301</v>
      </c>
      <c r="L43" s="102">
        <f>(2/3)^3*'DATOS DE EQUIPOS'!$R$8*'DATOS DE EQUIPOS'!$R$9^2*'NO LINEALIDADES'!E8*(10^(E43/10)*0.001)^2*LOG10(PI()^2*ABS('DATOS DE EQUIPOS'!$R$10*10^(-24))*'NO LINEALIDADES'!E8*'DATOS DE EQUIPOS'!$R$11^2*'DATOS DE EQUIPOS'!$R$12^2)*'DATOS DE EQUIPOS'!$R$13/(PI()*ABS('DATOS DE EQUIPOS'!$R$10*10^(-24))*'DATOS DE EQUIPOS'!$R$12^3)</f>
        <v>0.000424422435</v>
      </c>
      <c r="M43" s="89">
        <f>1/L43</f>
        <v>2356.14312</v>
      </c>
      <c r="N43" s="89">
        <f>10*LOG10(M43)</f>
        <v>33.72201667</v>
      </c>
      <c r="O43" s="89">
        <f>HARMEAN(M6:M43)/7</f>
        <v>358.0491903</v>
      </c>
      <c r="P43" s="89">
        <f>10*LOG(O43)</f>
        <v>25.53942696</v>
      </c>
    </row>
    <row r="44">
      <c r="A44" s="67" t="s">
        <v>249</v>
      </c>
      <c r="B44" s="27">
        <f>'TRAMO MAS COMPROMETIDO'!C7</f>
        <v>74</v>
      </c>
      <c r="C44" s="72">
        <v>-0.235</v>
      </c>
      <c r="D44" s="89">
        <f>B44*C44</f>
        <v>-17.39</v>
      </c>
      <c r="E44" s="89">
        <f t="shared" si="6"/>
        <v>-14.19</v>
      </c>
      <c r="F44" s="89"/>
      <c r="G44" s="89"/>
      <c r="H44" s="89"/>
      <c r="I44" s="89"/>
      <c r="J44" s="89"/>
      <c r="K44" s="89"/>
      <c r="L44" s="102"/>
      <c r="M44" s="89"/>
      <c r="N44" s="89"/>
      <c r="O44" s="89"/>
      <c r="P44" s="89"/>
    </row>
    <row r="45">
      <c r="A45" s="94"/>
      <c r="B45" s="94"/>
      <c r="C45" s="96"/>
      <c r="D45" s="96"/>
      <c r="E45" s="96"/>
      <c r="F45" s="96"/>
      <c r="G45" s="96"/>
      <c r="H45" s="96"/>
      <c r="I45" s="96"/>
      <c r="J45" s="96"/>
      <c r="K45" s="96"/>
      <c r="L45" s="104"/>
      <c r="M45" s="96"/>
      <c r="N45" s="96"/>
      <c r="O45" s="96"/>
      <c r="P45" s="96"/>
    </row>
    <row r="46">
      <c r="A46" s="122" t="str">
        <f>'TRAMO MAS COMPROMETIDO'!A8</f>
        <v>El Salado</v>
      </c>
      <c r="B46" s="106" t="s">
        <v>250</v>
      </c>
      <c r="C46" s="107"/>
      <c r="D46" s="107"/>
      <c r="E46" s="107"/>
      <c r="F46" s="107"/>
      <c r="G46" s="107"/>
      <c r="H46" s="107"/>
      <c r="I46" s="107"/>
      <c r="J46" s="107"/>
      <c r="K46" s="107"/>
      <c r="L46" s="108"/>
      <c r="M46" s="107"/>
      <c r="N46" s="107"/>
      <c r="O46" s="107"/>
      <c r="P46" s="107"/>
      <c r="T46" s="82"/>
    </row>
    <row r="47">
      <c r="A47" s="100" t="s">
        <v>247</v>
      </c>
      <c r="B47" s="94"/>
      <c r="C47" s="96"/>
      <c r="D47" s="72">
        <f>IF(D48 &gt; 0, IF(E44 &gt; -18.8, -18.8 - E44, 0), 0)</f>
        <v>-4.61</v>
      </c>
      <c r="E47" s="89">
        <f>D47+E44</f>
        <v>-18.8</v>
      </c>
      <c r="F47" s="96"/>
      <c r="G47" s="89"/>
      <c r="H47" s="89"/>
      <c r="I47" s="89"/>
      <c r="J47" s="89"/>
      <c r="K47" s="89"/>
      <c r="L47" s="102"/>
      <c r="M47" s="89"/>
      <c r="N47" s="89"/>
      <c r="O47" s="89"/>
      <c r="P47" s="89"/>
    </row>
    <row r="48">
      <c r="A48" s="100" t="s">
        <v>156</v>
      </c>
      <c r="B48" s="94"/>
      <c r="C48" s="96"/>
      <c r="D48" s="72">
        <v>22.0</v>
      </c>
      <c r="E48" s="89">
        <f t="shared" ref="E48:E49" si="7">D48+E47</f>
        <v>3.2</v>
      </c>
      <c r="F48" s="96"/>
      <c r="G48" s="89">
        <f>'DATOS DE EQUIPOS'!H8</f>
        <v>5.5</v>
      </c>
      <c r="H48" s="89">
        <f>E47+158.9-10*LOG10('DATOS DE EQUIPOS'!B14)-G48</f>
        <v>33.63089987</v>
      </c>
      <c r="I48" s="89">
        <f>10^(H48/10)</f>
        <v>2307.225203</v>
      </c>
      <c r="J48" s="89">
        <f>HARMEAN(I6:I48)/10</f>
        <v>244.7778849</v>
      </c>
      <c r="K48" s="89">
        <f>10*LOG10(J48)</f>
        <v>23.88772178</v>
      </c>
      <c r="L48" s="102">
        <f>(2/3)^3*'DATOS DE EQUIPOS'!$R$8*'DATOS DE EQUIPOS'!$R$9^2*'NO LINEALIDADES'!E9*(10^(E48/10)*0.001)^2*LOG10(PI()^2*ABS('DATOS DE EQUIPOS'!$R$10*10^(-24))*'NO LINEALIDADES'!E9*'DATOS DE EQUIPOS'!$R$11^2*'DATOS DE EQUIPOS'!$R$12^2)*'DATOS DE EQUIPOS'!$R$13/(PI()*ABS('DATOS DE EQUIPOS'!$R$10*10^(-24))*'DATOS DE EQUIPOS'!$R$12^3)</f>
        <v>0.0004201218713</v>
      </c>
      <c r="M48" s="89">
        <f>1/L48</f>
        <v>2380.261701</v>
      </c>
      <c r="N48" s="89">
        <f>10*LOG10(M48)</f>
        <v>33.76624709</v>
      </c>
      <c r="O48" s="89">
        <f>HARMEAN(M6:M48)/8</f>
        <v>311.2322919</v>
      </c>
      <c r="P48" s="89">
        <f>10*LOG(O48)</f>
        <v>24.93084651</v>
      </c>
    </row>
    <row r="49">
      <c r="A49" s="67" t="s">
        <v>249</v>
      </c>
      <c r="B49" s="27">
        <f>'TRAMO MAS COMPROMETIDO'!C8</f>
        <v>67</v>
      </c>
      <c r="C49" s="72">
        <v>-0.235</v>
      </c>
      <c r="D49" s="89">
        <f>B49*C49</f>
        <v>-15.745</v>
      </c>
      <c r="E49" s="89">
        <f t="shared" si="7"/>
        <v>-12.545</v>
      </c>
      <c r="F49" s="89"/>
      <c r="G49" s="89"/>
      <c r="H49" s="89"/>
      <c r="I49" s="89"/>
      <c r="J49" s="89"/>
      <c r="K49" s="89"/>
      <c r="L49" s="102"/>
      <c r="M49" s="89"/>
      <c r="N49" s="89"/>
      <c r="O49" s="89"/>
      <c r="P49" s="89"/>
    </row>
    <row r="50">
      <c r="A50" s="94"/>
      <c r="B50" s="94"/>
      <c r="C50" s="96"/>
      <c r="D50" s="96"/>
      <c r="E50" s="96"/>
      <c r="F50" s="96"/>
      <c r="G50" s="96"/>
      <c r="H50" s="96"/>
      <c r="I50" s="96"/>
      <c r="J50" s="96"/>
      <c r="K50" s="96"/>
      <c r="L50" s="104"/>
      <c r="M50" s="96"/>
      <c r="N50" s="96"/>
      <c r="O50" s="96"/>
      <c r="P50" s="96"/>
    </row>
    <row r="51">
      <c r="A51" s="112" t="str">
        <f>'TRAMO MAS COMPROMETIDO'!A9</f>
        <v>Tres Cerros</v>
      </c>
      <c r="B51" s="106" t="s">
        <v>250</v>
      </c>
      <c r="C51" s="107"/>
      <c r="D51" s="107"/>
      <c r="E51" s="107"/>
      <c r="F51" s="107"/>
      <c r="G51" s="107"/>
      <c r="H51" s="107"/>
      <c r="I51" s="107"/>
      <c r="J51" s="107"/>
      <c r="K51" s="107"/>
      <c r="L51" s="108"/>
      <c r="M51" s="107"/>
      <c r="N51" s="107"/>
      <c r="O51" s="107"/>
      <c r="P51" s="107"/>
    </row>
    <row r="52">
      <c r="A52" s="100" t="s">
        <v>247</v>
      </c>
      <c r="B52" s="94"/>
      <c r="C52" s="96"/>
      <c r="D52" s="72">
        <f>IF(D53 &gt; 0, IF(E49 &gt; -18.8, -18.8 - E49, 0), 0)</f>
        <v>-6.255</v>
      </c>
      <c r="E52" s="89">
        <f>D52+E49</f>
        <v>-18.8</v>
      </c>
      <c r="F52" s="96"/>
      <c r="G52" s="89"/>
      <c r="H52" s="89"/>
      <c r="I52" s="89"/>
      <c r="J52" s="89"/>
      <c r="K52" s="89"/>
      <c r="L52" s="102"/>
      <c r="M52" s="89"/>
      <c r="N52" s="89"/>
      <c r="O52" s="89"/>
      <c r="P52" s="89"/>
    </row>
    <row r="53">
      <c r="A53" s="100" t="s">
        <v>156</v>
      </c>
      <c r="B53" s="94"/>
      <c r="C53" s="96"/>
      <c r="D53" s="72">
        <v>22.0</v>
      </c>
      <c r="E53" s="89">
        <f t="shared" ref="E53:E54" si="8">D53+E52</f>
        <v>3.2</v>
      </c>
      <c r="F53" s="96"/>
      <c r="G53" s="89">
        <f>'DATOS DE EQUIPOS'!H8</f>
        <v>5.5</v>
      </c>
      <c r="H53" s="89">
        <f>E52+158.9-10*LOG10('DATOS DE EQUIPOS'!B14)-G53</f>
        <v>33.63089987</v>
      </c>
      <c r="I53" s="89">
        <f>10^(H53/10)</f>
        <v>2307.225203</v>
      </c>
      <c r="J53" s="89">
        <f>HARMEAN(I6:I53)/11</f>
        <v>221.2997735</v>
      </c>
      <c r="K53" s="89">
        <f>10*LOG10(J53)</f>
        <v>23.44980969</v>
      </c>
      <c r="L53" s="102">
        <f>(2/3)^3*'DATOS DE EQUIPOS'!$R$8*'DATOS DE EQUIPOS'!$R$9^2*'NO LINEALIDADES'!E10*(10^(E53/10)*0.001)^2*LOG10(PI()^2*ABS('DATOS DE EQUIPOS'!$R$10*10^(-24))*'NO LINEALIDADES'!E10*'DATOS DE EQUIPOS'!$R$11^2*'DATOS DE EQUIPOS'!$R$12^2)*'DATOS DE EQUIPOS'!$R$13/(PI()*ABS('DATOS DE EQUIPOS'!$R$10*10^(-24))*'DATOS DE EQUIPOS'!$R$12^3)</f>
        <v>0.0004193672098</v>
      </c>
      <c r="M53" s="89">
        <f>1/L53</f>
        <v>2384.54504</v>
      </c>
      <c r="N53" s="89">
        <f>10*LOG10(M53)</f>
        <v>33.7740553</v>
      </c>
      <c r="O53" s="89">
        <f>HARMEAN(M6:M53)/9</f>
        <v>275.2999698</v>
      </c>
      <c r="P53" s="89">
        <f>10*LOG(O53)</f>
        <v>24.39806164</v>
      </c>
    </row>
    <row r="54">
      <c r="A54" s="67" t="s">
        <v>249</v>
      </c>
      <c r="B54" s="27">
        <f>'TRAMO MAS COMPROMETIDO'!C9</f>
        <v>66</v>
      </c>
      <c r="C54" s="72">
        <v>-0.235</v>
      </c>
      <c r="D54" s="89">
        <f>B54*C54</f>
        <v>-15.51</v>
      </c>
      <c r="E54" s="89">
        <f t="shared" si="8"/>
        <v>-12.31</v>
      </c>
      <c r="F54" s="89"/>
      <c r="G54" s="89"/>
      <c r="H54" s="89"/>
      <c r="I54" s="89"/>
      <c r="J54" s="89"/>
      <c r="K54" s="89"/>
      <c r="L54" s="102"/>
      <c r="M54" s="89"/>
      <c r="N54" s="89"/>
      <c r="O54" s="89"/>
      <c r="P54" s="89"/>
    </row>
    <row r="55">
      <c r="A55" s="94"/>
      <c r="B55" s="94"/>
      <c r="C55" s="96"/>
      <c r="D55" s="96"/>
      <c r="E55" s="96"/>
      <c r="F55" s="96"/>
      <c r="G55" s="96"/>
      <c r="H55" s="96"/>
      <c r="I55" s="96"/>
      <c r="J55" s="96"/>
      <c r="K55" s="96"/>
      <c r="L55" s="104"/>
      <c r="M55" s="96"/>
      <c r="N55" s="96"/>
      <c r="O55" s="96"/>
      <c r="P55" s="96"/>
    </row>
    <row r="56">
      <c r="A56" s="112" t="str">
        <f>'TRAMO MAS COMPROMETIDO'!A10</f>
        <v>Estancia La Calandria</v>
      </c>
      <c r="B56" s="106" t="s">
        <v>250</v>
      </c>
      <c r="C56" s="107"/>
      <c r="D56" s="107"/>
      <c r="E56" s="107"/>
      <c r="F56" s="107"/>
      <c r="G56" s="107"/>
      <c r="H56" s="107"/>
      <c r="I56" s="107"/>
      <c r="J56" s="107"/>
      <c r="K56" s="107"/>
      <c r="L56" s="108"/>
      <c r="M56" s="107"/>
      <c r="N56" s="107"/>
      <c r="O56" s="107"/>
      <c r="P56" s="107"/>
    </row>
    <row r="57">
      <c r="A57" s="100" t="s">
        <v>247</v>
      </c>
      <c r="B57" s="94"/>
      <c r="C57" s="96"/>
      <c r="D57" s="72">
        <f>IF(D58 &gt; 0, IF(E54 &gt; -18.8, -18.8 - E54, 0), 0)</f>
        <v>-6.49</v>
      </c>
      <c r="E57" s="89">
        <f>D57+E54</f>
        <v>-18.8</v>
      </c>
      <c r="F57" s="96"/>
      <c r="G57" s="89"/>
      <c r="H57" s="89"/>
      <c r="I57" s="89"/>
      <c r="J57" s="89"/>
      <c r="K57" s="89"/>
      <c r="L57" s="102"/>
      <c r="M57" s="89"/>
      <c r="N57" s="89"/>
      <c r="O57" s="89"/>
      <c r="P57" s="89"/>
    </row>
    <row r="58">
      <c r="A58" s="100" t="s">
        <v>156</v>
      </c>
      <c r="B58" s="94"/>
      <c r="C58" s="96"/>
      <c r="D58" s="72">
        <v>22.0</v>
      </c>
      <c r="E58" s="89">
        <f t="shared" ref="E58:E59" si="9">D58+E57</f>
        <v>3.2</v>
      </c>
      <c r="F58" s="96"/>
      <c r="G58" s="89">
        <f>'DATOS DE EQUIPOS'!H8</f>
        <v>5.5</v>
      </c>
      <c r="H58" s="89">
        <f>E57+158.9-10*LOG10('DATOS DE EQUIPOS'!B14)-G58</f>
        <v>33.63089987</v>
      </c>
      <c r="I58" s="89">
        <f>10^(H58/10)</f>
        <v>2307.225203</v>
      </c>
      <c r="J58" s="89">
        <f>HARMEAN(I6:I58)/12</f>
        <v>201.9313313</v>
      </c>
      <c r="K58" s="89">
        <f>10*LOG10(J58)</f>
        <v>23.05203709</v>
      </c>
      <c r="L58" s="102">
        <f>(2/3)^3*'DATOS DE EQUIPOS'!$R$8*'DATOS DE EQUIPOS'!$R$9^2*'NO LINEALIDADES'!E11*(10^(E58/10)*0.001)^2*LOG10(PI()^2*ABS('DATOS DE EQUIPOS'!$R$10*10^(-24))*'NO LINEALIDADES'!E11*'DATOS DE EQUIPOS'!$R$11^2*'DATOS DE EQUIPOS'!$R$12^2)*'DATOS DE EQUIPOS'!$R$13/(PI()*ABS('DATOS DE EQUIPOS'!$R$10*10^(-24))*'DATOS DE EQUIPOS'!$R$12^3)</f>
        <v>0.0004273932209</v>
      </c>
      <c r="M58" s="89">
        <f>1/L58</f>
        <v>2339.765703</v>
      </c>
      <c r="N58" s="89">
        <f>10*LOG10(M58)</f>
        <v>33.69172371</v>
      </c>
      <c r="O58" s="89">
        <f>HARMEAN(M6:M58)/10</f>
        <v>246.317878</v>
      </c>
      <c r="P58" s="89">
        <f>10*LOG(O58)</f>
        <v>23.91495934</v>
      </c>
    </row>
    <row r="59">
      <c r="A59" s="67" t="s">
        <v>249</v>
      </c>
      <c r="B59" s="27">
        <f>'TRAMO MAS COMPROMETIDO'!C10</f>
        <v>81</v>
      </c>
      <c r="C59" s="72">
        <v>-0.235</v>
      </c>
      <c r="D59" s="89">
        <f>B59*C59</f>
        <v>-19.035</v>
      </c>
      <c r="E59" s="89">
        <f t="shared" si="9"/>
        <v>-15.835</v>
      </c>
      <c r="F59" s="89"/>
      <c r="G59" s="89"/>
      <c r="H59" s="89"/>
      <c r="I59" s="89"/>
      <c r="J59" s="89"/>
      <c r="K59" s="89"/>
      <c r="L59" s="102"/>
      <c r="M59" s="89"/>
      <c r="N59" s="89"/>
      <c r="O59" s="89"/>
      <c r="P59" s="89"/>
    </row>
    <row r="60">
      <c r="A60" s="94"/>
      <c r="B60" s="95"/>
      <c r="C60" s="96"/>
      <c r="D60" s="96"/>
      <c r="E60" s="96"/>
      <c r="F60" s="96"/>
      <c r="G60" s="96"/>
      <c r="H60" s="96"/>
      <c r="I60" s="96"/>
      <c r="J60" s="96"/>
      <c r="K60" s="96"/>
      <c r="L60" s="104"/>
      <c r="M60" s="96"/>
      <c r="N60" s="96"/>
      <c r="O60" s="96"/>
      <c r="P60" s="96"/>
    </row>
    <row r="61">
      <c r="A61" s="113" t="str">
        <f>'TRAMO MAS COMPROMETIDO'!A11</f>
        <v>Jaramillo</v>
      </c>
      <c r="B61" s="114"/>
      <c r="C61" s="115"/>
      <c r="D61" s="115"/>
      <c r="E61" s="115"/>
      <c r="F61" s="115"/>
      <c r="G61" s="115"/>
      <c r="H61" s="115"/>
      <c r="I61" s="115"/>
      <c r="J61" s="115"/>
      <c r="K61" s="115"/>
      <c r="L61" s="116"/>
      <c r="M61" s="115"/>
      <c r="N61" s="115"/>
      <c r="O61" s="115"/>
      <c r="P61" s="115"/>
    </row>
    <row r="62">
      <c r="A62" s="72" t="s">
        <v>251</v>
      </c>
      <c r="B62" s="94"/>
      <c r="C62" s="96"/>
      <c r="D62" s="72">
        <f>IF(D63 &gt; 0, IF(E59 &gt; -18.8, -18.8 - E59, 0), 0)</f>
        <v>-2.965</v>
      </c>
      <c r="E62" s="89">
        <f>D62+E59</f>
        <v>-18.8</v>
      </c>
      <c r="F62" s="96"/>
      <c r="G62" s="89"/>
      <c r="H62" s="89"/>
      <c r="I62" s="89"/>
      <c r="J62" s="89"/>
      <c r="K62" s="89"/>
      <c r="L62" s="102"/>
      <c r="M62" s="89"/>
      <c r="N62" s="89"/>
      <c r="O62" s="89"/>
      <c r="P62" s="89"/>
    </row>
    <row r="63">
      <c r="A63" s="72" t="s">
        <v>252</v>
      </c>
      <c r="B63" s="94"/>
      <c r="C63" s="96"/>
      <c r="D63" s="72">
        <v>22.0</v>
      </c>
      <c r="E63" s="89">
        <f t="shared" ref="E63:E68" si="10">D63+E62</f>
        <v>3.2</v>
      </c>
      <c r="F63" s="96"/>
      <c r="G63" s="89">
        <f>'DATOS DE EQUIPOS'!E10</f>
        <v>8</v>
      </c>
      <c r="H63" s="89">
        <f>E62+158.9-10*LOG10('DATOS DE EQUIPOS'!B14)-G63</f>
        <v>31.13089987</v>
      </c>
      <c r="I63" s="89">
        <f>10^(H63/10)</f>
        <v>1297.448078</v>
      </c>
      <c r="J63" s="89">
        <f>HARMEAN(I6:I63)/13</f>
        <v>174.7359048</v>
      </c>
      <c r="K63" s="89">
        <f>10*LOG10(J63)</f>
        <v>22.42382153</v>
      </c>
      <c r="L63" s="102"/>
      <c r="M63" s="89"/>
      <c r="N63" s="89"/>
      <c r="O63" s="89"/>
      <c r="P63" s="89"/>
    </row>
    <row r="64">
      <c r="A64" s="109" t="s">
        <v>253</v>
      </c>
      <c r="B64" s="94"/>
      <c r="C64" s="96"/>
      <c r="D64" s="72">
        <v>-5.0</v>
      </c>
      <c r="E64" s="89">
        <f t="shared" si="10"/>
        <v>-1.8</v>
      </c>
      <c r="F64" s="96"/>
      <c r="G64" s="89"/>
      <c r="H64" s="89"/>
      <c r="I64" s="89"/>
      <c r="J64" s="89"/>
      <c r="K64" s="89"/>
      <c r="L64" s="102"/>
      <c r="M64" s="89"/>
      <c r="N64" s="89"/>
      <c r="O64" s="89"/>
      <c r="P64" s="89"/>
    </row>
    <row r="65">
      <c r="A65" s="72" t="s">
        <v>246</v>
      </c>
      <c r="B65" s="94"/>
      <c r="C65" s="96"/>
      <c r="D65" s="72">
        <v>-5.0</v>
      </c>
      <c r="E65" s="89">
        <f t="shared" si="10"/>
        <v>-6.8</v>
      </c>
      <c r="F65" s="96"/>
      <c r="G65" s="89"/>
      <c r="H65" s="89"/>
      <c r="I65" s="89"/>
      <c r="J65" s="89"/>
      <c r="K65" s="89"/>
      <c r="L65" s="102"/>
      <c r="M65" s="89"/>
      <c r="N65" s="89"/>
      <c r="O65" s="89"/>
      <c r="P65" s="89"/>
    </row>
    <row r="66">
      <c r="A66" s="72" t="s">
        <v>255</v>
      </c>
      <c r="B66" s="94"/>
      <c r="C66" s="96"/>
      <c r="D66" s="72">
        <f>IF(E65 &gt; -14.8, -14.8 - E65, 0)</f>
        <v>-8</v>
      </c>
      <c r="E66" s="89">
        <f t="shared" si="10"/>
        <v>-14.8</v>
      </c>
      <c r="F66" s="96"/>
      <c r="G66" s="89"/>
      <c r="H66" s="89"/>
      <c r="I66" s="89"/>
      <c r="J66" s="89"/>
      <c r="K66" s="89"/>
      <c r="L66" s="102"/>
      <c r="M66" s="89"/>
      <c r="N66" s="89"/>
      <c r="O66" s="89"/>
      <c r="P66" s="89"/>
    </row>
    <row r="67">
      <c r="A67" s="72" t="s">
        <v>254</v>
      </c>
      <c r="B67" s="94"/>
      <c r="C67" s="96"/>
      <c r="D67" s="72">
        <v>18.0</v>
      </c>
      <c r="E67" s="89">
        <f t="shared" si="10"/>
        <v>3.2</v>
      </c>
      <c r="F67" s="96"/>
      <c r="G67" s="89">
        <f>'DATOS DE EQUIPOS'!E14</f>
        <v>6.5</v>
      </c>
      <c r="H67" s="89">
        <f>E66+158.9-10*LOG10('DATOS DE EQUIPOS'!B14)-G67</f>
        <v>36.63089987</v>
      </c>
      <c r="I67" s="89">
        <f>10^(H67/10)</f>
        <v>4603.519499</v>
      </c>
      <c r="J67" s="89">
        <f>HARMEAN(I6:I67)/14</f>
        <v>168.3459918</v>
      </c>
      <c r="K67" s="89">
        <f>10*LOG10(J67)</f>
        <v>22.2620278</v>
      </c>
      <c r="L67" s="102">
        <f>(2/3)^3*'DATOS DE EQUIPOS'!$R$8*'DATOS DE EQUIPOS'!$R$9^2*'NO LINEALIDADES'!E12*(10^(E67/10)*0.001)^2*LOG10(PI()^2*ABS('DATOS DE EQUIPOS'!$R$10*10^(-24))*'NO LINEALIDADES'!E12*'DATOS DE EQUIPOS'!$R$11^2*'DATOS DE EQUIPOS'!$R$12^2)*'DATOS DE EQUIPOS'!$R$13/(PI()*ABS('DATOS DE EQUIPOS'!$R$10*10^(-24))*'DATOS DE EQUIPOS'!$R$12^3)</f>
        <v>0.0003072557403</v>
      </c>
      <c r="M67" s="89">
        <f>1/L67</f>
        <v>3254.617795</v>
      </c>
      <c r="N67" s="89">
        <f>10*LOG10(M67)</f>
        <v>35.12499995</v>
      </c>
      <c r="O67" s="89">
        <f>HARMEAN(M6:M67)/11</f>
        <v>228.9875119</v>
      </c>
      <c r="P67" s="89">
        <f>10*LOG(O67)</f>
        <v>23.59811798</v>
      </c>
    </row>
    <row r="68">
      <c r="A68" s="67" t="s">
        <v>249</v>
      </c>
      <c r="B68" s="27">
        <f>'TRAMO MAS COMPROMETIDO'!C11</f>
        <v>25</v>
      </c>
      <c r="C68" s="72">
        <v>-0.235</v>
      </c>
      <c r="D68" s="89">
        <f>B68*C68</f>
        <v>-5.875</v>
      </c>
      <c r="E68" s="89">
        <f t="shared" si="10"/>
        <v>-2.675</v>
      </c>
      <c r="F68" s="89"/>
      <c r="G68" s="89"/>
      <c r="H68" s="89"/>
      <c r="I68" s="89"/>
      <c r="J68" s="89"/>
      <c r="K68" s="89"/>
      <c r="L68" s="102"/>
      <c r="M68" s="89"/>
      <c r="N68" s="89"/>
      <c r="O68" s="89"/>
      <c r="P68" s="89"/>
    </row>
    <row r="69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104"/>
      <c r="M69" s="96"/>
      <c r="N69" s="96"/>
      <c r="O69" s="96"/>
      <c r="P69" s="96"/>
    </row>
    <row r="70">
      <c r="A70" s="113" t="str">
        <f>'TRAMO MAS COMPROMETIDO'!A12</f>
        <v>Caleta Olivia</v>
      </c>
      <c r="B70" s="114"/>
      <c r="C70" s="115"/>
      <c r="D70" s="115"/>
      <c r="E70" s="115"/>
      <c r="F70" s="115"/>
      <c r="G70" s="115"/>
      <c r="H70" s="115"/>
      <c r="I70" s="115"/>
      <c r="J70" s="115"/>
      <c r="K70" s="115"/>
      <c r="L70" s="116"/>
      <c r="M70" s="115"/>
      <c r="N70" s="115"/>
      <c r="O70" s="115"/>
      <c r="P70" s="115"/>
    </row>
    <row r="71">
      <c r="A71" s="72" t="s">
        <v>251</v>
      </c>
      <c r="B71" s="94"/>
      <c r="C71" s="96"/>
      <c r="D71" s="72">
        <f>IF(D72 &gt; 0, IF(E68 &gt; -18.8, -18.8 - E68, 0), 0)</f>
        <v>-16.125</v>
      </c>
      <c r="E71" s="89">
        <f>D71+E68</f>
        <v>-18.8</v>
      </c>
      <c r="F71" s="96"/>
      <c r="G71" s="89"/>
      <c r="H71" s="89"/>
      <c r="I71" s="89"/>
      <c r="J71" s="89"/>
      <c r="K71" s="89"/>
      <c r="L71" s="102"/>
      <c r="M71" s="89"/>
      <c r="N71" s="89"/>
      <c r="O71" s="89"/>
      <c r="P71" s="89"/>
    </row>
    <row r="72">
      <c r="A72" s="100" t="s">
        <v>256</v>
      </c>
      <c r="B72" s="94"/>
      <c r="C72" s="96"/>
      <c r="D72" s="72">
        <v>22.0</v>
      </c>
      <c r="E72" s="89">
        <f t="shared" ref="E72:E77" si="11">D72+E71</f>
        <v>3.2</v>
      </c>
      <c r="F72" s="96"/>
      <c r="G72" s="89">
        <f>'DATOS DE EQUIPOS'!E10</f>
        <v>8</v>
      </c>
      <c r="H72" s="89">
        <f>E71+158.9-10*LOG10('DATOS DE EQUIPOS'!B14)-G72</f>
        <v>31.13089987</v>
      </c>
      <c r="I72" s="89">
        <f>10^(H72/10)</f>
        <v>1297.448078</v>
      </c>
      <c r="J72" s="89">
        <f>HARMEAN(I6:I72)/15</f>
        <v>149.0115071</v>
      </c>
      <c r="K72" s="89">
        <f>10*LOG10(J72)</f>
        <v>21.73219807</v>
      </c>
      <c r="L72" s="102"/>
      <c r="M72" s="89"/>
      <c r="N72" s="89"/>
      <c r="O72" s="89"/>
      <c r="P72" s="89"/>
    </row>
    <row r="73">
      <c r="A73" s="109" t="s">
        <v>253</v>
      </c>
      <c r="B73" s="117"/>
      <c r="C73" s="123"/>
      <c r="D73" s="118">
        <v>-5.0</v>
      </c>
      <c r="E73" s="110">
        <f t="shared" si="11"/>
        <v>-1.8</v>
      </c>
      <c r="F73" s="117"/>
      <c r="G73" s="119"/>
      <c r="H73" s="119"/>
      <c r="I73" s="119"/>
      <c r="J73" s="119"/>
      <c r="K73" s="119"/>
      <c r="L73" s="102"/>
      <c r="M73" s="89"/>
      <c r="N73" s="89"/>
      <c r="O73" s="89"/>
      <c r="P73" s="89"/>
    </row>
    <row r="74">
      <c r="A74" s="72" t="s">
        <v>246</v>
      </c>
      <c r="B74" s="27"/>
      <c r="C74" s="72"/>
      <c r="D74" s="72">
        <v>-5.0</v>
      </c>
      <c r="E74" s="89">
        <f t="shared" si="11"/>
        <v>-6.8</v>
      </c>
      <c r="F74" s="89"/>
      <c r="G74" s="89"/>
      <c r="H74" s="89"/>
      <c r="I74" s="89"/>
      <c r="J74" s="89"/>
      <c r="K74" s="89"/>
      <c r="L74" s="102"/>
      <c r="M74" s="89"/>
      <c r="N74" s="89"/>
      <c r="O74" s="89"/>
      <c r="P74" s="89"/>
    </row>
    <row r="75">
      <c r="A75" s="72" t="s">
        <v>255</v>
      </c>
      <c r="B75" s="27"/>
      <c r="C75" s="72"/>
      <c r="D75" s="72">
        <f>IF(E74 &gt; -14.8, -14.8 - E74, 0)</f>
        <v>-8</v>
      </c>
      <c r="E75" s="89">
        <f t="shared" si="11"/>
        <v>-14.8</v>
      </c>
      <c r="F75" s="89"/>
      <c r="G75" s="89"/>
      <c r="H75" s="89"/>
      <c r="I75" s="89"/>
      <c r="J75" s="89"/>
      <c r="K75" s="89"/>
      <c r="L75" s="102"/>
      <c r="M75" s="89"/>
      <c r="N75" s="89"/>
      <c r="O75" s="89"/>
      <c r="P75" s="89"/>
    </row>
    <row r="76">
      <c r="A76" s="72" t="s">
        <v>254</v>
      </c>
      <c r="B76" s="27"/>
      <c r="C76" s="72"/>
      <c r="D76" s="72">
        <v>18.0</v>
      </c>
      <c r="E76" s="89">
        <f t="shared" si="11"/>
        <v>3.2</v>
      </c>
      <c r="F76" s="89"/>
      <c r="G76" s="89">
        <f>'DATOS DE EQUIPOS'!E14</f>
        <v>6.5</v>
      </c>
      <c r="H76" s="89">
        <f>E75+158.9-10*LOG10('DATOS DE EQUIPOS'!B14)-G76</f>
        <v>36.63089987</v>
      </c>
      <c r="I76" s="89">
        <f>10^(H76/10)</f>
        <v>4603.519499</v>
      </c>
      <c r="J76" s="89">
        <f>HARMEAN(I6:I76)/16</f>
        <v>144.3393799</v>
      </c>
      <c r="K76" s="89">
        <f>10*LOG10(J76)</f>
        <v>21.59384835</v>
      </c>
      <c r="L76" s="102">
        <f>(2/3)^3*'DATOS DE EQUIPOS'!$R$8*'DATOS DE EQUIPOS'!$R$9^2*'NO LINEALIDADES'!E13*(10^(E76/10)*0.001)^2*LOG10(PI()^2*ABS('DATOS DE EQUIPOS'!$R$10*10^(-24))*'NO LINEALIDADES'!E13*'DATOS DE EQUIPOS'!$R$11^2*'DATOS DE EQUIPOS'!$R$12^2)*'DATOS DE EQUIPOS'!$R$13/(PI()*ABS('DATOS DE EQUIPOS'!$R$10*10^(-24))*'DATOS DE EQUIPOS'!$R$12^3)</f>
        <v>0.000428366089</v>
      </c>
      <c r="M76" s="89">
        <f>1/L76</f>
        <v>2334.451829</v>
      </c>
      <c r="N76" s="89">
        <f>10*LOG10(M76)</f>
        <v>33.68184917</v>
      </c>
      <c r="O76" s="89">
        <f>HARMEAN(M6:M76)/12</f>
        <v>208.5324616</v>
      </c>
      <c r="P76" s="89">
        <f>10*LOG(O76)</f>
        <v>23.1917367</v>
      </c>
    </row>
    <row r="77">
      <c r="A77" s="67" t="s">
        <v>249</v>
      </c>
      <c r="B77" s="27">
        <f>'TRAMO MAS COMPROMETIDO'!C12</f>
        <v>84</v>
      </c>
      <c r="C77" s="72">
        <v>-0.235</v>
      </c>
      <c r="D77" s="89">
        <f>B77*C77</f>
        <v>-19.74</v>
      </c>
      <c r="E77" s="89">
        <f t="shared" si="11"/>
        <v>-16.54</v>
      </c>
      <c r="F77" s="89"/>
      <c r="G77" s="89"/>
      <c r="H77" s="89"/>
      <c r="I77" s="89"/>
      <c r="J77" s="89"/>
      <c r="K77" s="89"/>
      <c r="L77" s="102"/>
      <c r="M77" s="89"/>
      <c r="N77" s="89"/>
      <c r="O77" s="89"/>
      <c r="P77" s="89"/>
    </row>
    <row r="78">
      <c r="A78" s="94"/>
      <c r="B78" s="94"/>
      <c r="C78" s="96"/>
      <c r="D78" s="96"/>
      <c r="E78" s="96"/>
      <c r="F78" s="96"/>
      <c r="G78" s="96"/>
      <c r="H78" s="96"/>
      <c r="I78" s="96"/>
      <c r="J78" s="96"/>
      <c r="K78" s="96"/>
      <c r="L78" s="104"/>
      <c r="M78" s="96"/>
      <c r="N78" s="96"/>
      <c r="O78" s="96"/>
      <c r="P78" s="96"/>
    </row>
    <row r="79">
      <c r="A79" s="113" t="str">
        <f>'TRAMO MAS COMPROMETIDO'!A13</f>
        <v>Comodoro Rivadavia</v>
      </c>
      <c r="B79" s="114"/>
      <c r="C79" s="115"/>
      <c r="D79" s="115"/>
      <c r="E79" s="115"/>
      <c r="F79" s="115"/>
      <c r="G79" s="115"/>
      <c r="H79" s="115"/>
      <c r="I79" s="115"/>
      <c r="J79" s="115"/>
      <c r="K79" s="115"/>
      <c r="L79" s="116"/>
      <c r="M79" s="115"/>
      <c r="N79" s="115"/>
      <c r="O79" s="115"/>
      <c r="P79" s="115"/>
    </row>
    <row r="80">
      <c r="A80" s="72" t="s">
        <v>251</v>
      </c>
      <c r="B80" s="94"/>
      <c r="C80" s="96"/>
      <c r="D80" s="72">
        <f>IF(D81 &gt; 0, IF(E77 &gt; -18.8, -18.8 - E77, 0), 0)</f>
        <v>-2.26</v>
      </c>
      <c r="E80" s="89">
        <f>D80+E77</f>
        <v>-18.8</v>
      </c>
      <c r="F80" s="96"/>
      <c r="G80" s="89"/>
      <c r="H80" s="89"/>
      <c r="I80" s="89"/>
      <c r="J80" s="89"/>
      <c r="K80" s="89"/>
      <c r="L80" s="102"/>
      <c r="M80" s="89"/>
      <c r="N80" s="89"/>
      <c r="O80" s="89"/>
      <c r="P80" s="89"/>
    </row>
    <row r="81">
      <c r="A81" s="72" t="s">
        <v>252</v>
      </c>
      <c r="B81" s="94"/>
      <c r="C81" s="96"/>
      <c r="D81" s="72">
        <v>22.0</v>
      </c>
      <c r="E81" s="89">
        <f t="shared" ref="E81:E86" si="12">D81+E80</f>
        <v>3.2</v>
      </c>
      <c r="F81" s="96"/>
      <c r="G81" s="89">
        <f>'DATOS DE EQUIPOS'!E10</f>
        <v>8</v>
      </c>
      <c r="H81" s="89">
        <f>E80+158.9-10*LOG10('DATOS DE EQUIPOS'!B14)-G81</f>
        <v>31.13089987</v>
      </c>
      <c r="I81" s="89">
        <f>10^(H81/10)</f>
        <v>1297.448078</v>
      </c>
      <c r="J81" s="89">
        <f>HARMEAN(I6:I81)/17</f>
        <v>129.8893606</v>
      </c>
      <c r="K81" s="89">
        <f>10*LOG10(J81)</f>
        <v>21.13573579</v>
      </c>
      <c r="L81" s="102"/>
      <c r="M81" s="89"/>
      <c r="N81" s="89"/>
      <c r="O81" s="89"/>
      <c r="P81" s="89"/>
    </row>
    <row r="82">
      <c r="A82" s="109" t="s">
        <v>253</v>
      </c>
      <c r="B82" s="117"/>
      <c r="C82" s="117"/>
      <c r="D82" s="118">
        <v>-5.0</v>
      </c>
      <c r="E82" s="110">
        <f t="shared" si="12"/>
        <v>-1.8</v>
      </c>
      <c r="F82" s="117"/>
      <c r="G82" s="119"/>
      <c r="H82" s="119"/>
      <c r="I82" s="119"/>
      <c r="J82" s="119"/>
      <c r="K82" s="119"/>
      <c r="L82" s="102"/>
      <c r="M82" s="119"/>
      <c r="N82" s="89"/>
      <c r="O82" s="89"/>
      <c r="P82" s="89"/>
    </row>
    <row r="83">
      <c r="A83" s="72" t="s">
        <v>246</v>
      </c>
      <c r="B83" s="94"/>
      <c r="C83" s="96"/>
      <c r="D83" s="72">
        <v>-5.0</v>
      </c>
      <c r="E83" s="89">
        <f t="shared" si="12"/>
        <v>-6.8</v>
      </c>
      <c r="F83" s="96"/>
      <c r="G83" s="89"/>
      <c r="H83" s="89"/>
      <c r="I83" s="89"/>
      <c r="J83" s="89"/>
      <c r="K83" s="89"/>
      <c r="L83" s="102"/>
      <c r="M83" s="89"/>
      <c r="N83" s="89"/>
      <c r="O83" s="89"/>
      <c r="P83" s="89"/>
    </row>
    <row r="84">
      <c r="A84" s="72" t="s">
        <v>247</v>
      </c>
      <c r="B84" s="94"/>
      <c r="C84" s="96"/>
      <c r="D84" s="72">
        <f>IF(E83 &gt; -14.8, -14.8 - E83, 0)</f>
        <v>-8</v>
      </c>
      <c r="E84" s="89">
        <f t="shared" si="12"/>
        <v>-14.8</v>
      </c>
      <c r="F84" s="96"/>
      <c r="G84" s="89"/>
      <c r="H84" s="89"/>
      <c r="I84" s="89"/>
      <c r="J84" s="89"/>
      <c r="K84" s="89"/>
      <c r="L84" s="102"/>
      <c r="M84" s="89"/>
      <c r="N84" s="89"/>
      <c r="O84" s="89"/>
      <c r="P84" s="89"/>
    </row>
    <row r="85">
      <c r="A85" s="72" t="s">
        <v>254</v>
      </c>
      <c r="B85" s="94"/>
      <c r="C85" s="96"/>
      <c r="D85" s="72">
        <v>18.0</v>
      </c>
      <c r="E85" s="89">
        <f t="shared" si="12"/>
        <v>3.2</v>
      </c>
      <c r="F85" s="96"/>
      <c r="G85" s="89">
        <f>'DATOS DE EQUIPOS'!E14</f>
        <v>6.5</v>
      </c>
      <c r="H85" s="89">
        <f>E84+158.9-10*LOG10('DATOS DE EQUIPOS'!B14)-G85</f>
        <v>36.63089987</v>
      </c>
      <c r="I85" s="89">
        <f>10^(H85/10)</f>
        <v>4603.519499</v>
      </c>
      <c r="J85" s="89">
        <f>HARMEAN(I6:I85)/18</f>
        <v>126.3250698</v>
      </c>
      <c r="K85" s="89">
        <f>10*LOG10(J85)</f>
        <v>21.01489547</v>
      </c>
      <c r="L85" s="102">
        <f>(2/3)^3*'DATOS DE EQUIPOS'!$R$8*'DATOS DE EQUIPOS'!$R$9^2*'NO LINEALIDADES'!E14*(10^(E85/10)*0.001)^2*LOG10(PI()^2*ABS('DATOS DE EQUIPOS'!$R$10*10^(-24))*'NO LINEALIDADES'!E14*'DATOS DE EQUIPOS'!$R$11^2*'DATOS DE EQUIPOS'!$R$12^2)*'DATOS DE EQUIPOS'!$R$13/(PI()*ABS('DATOS DE EQUIPOS'!$R$10*10^(-24))*'DATOS DE EQUIPOS'!$R$12^3)</f>
        <v>0.0002609971488</v>
      </c>
      <c r="M85" s="89">
        <f>1/L85</f>
        <v>3831.45948</v>
      </c>
      <c r="N85" s="89">
        <f>10*LOG10(M85)</f>
        <v>35.83364237</v>
      </c>
      <c r="O85" s="89">
        <f>HARMEAN(M6:M85)/13</f>
        <v>197.7686313</v>
      </c>
      <c r="P85" s="89">
        <f>10*LOG(O85)</f>
        <v>22.96157408</v>
      </c>
    </row>
    <row r="86">
      <c r="A86" s="67" t="s">
        <v>249</v>
      </c>
      <c r="B86" s="27">
        <f>'TRAMO MAS COMPROMETIDO'!C13</f>
        <v>19</v>
      </c>
      <c r="C86" s="72">
        <v>-0.235</v>
      </c>
      <c r="D86" s="89">
        <f>B86*C86</f>
        <v>-4.465</v>
      </c>
      <c r="E86" s="89">
        <f t="shared" si="12"/>
        <v>-1.265</v>
      </c>
      <c r="F86" s="89"/>
      <c r="G86" s="89"/>
      <c r="H86" s="89"/>
      <c r="I86" s="89"/>
      <c r="J86" s="89"/>
      <c r="K86" s="89"/>
      <c r="L86" s="102"/>
      <c r="M86" s="89"/>
      <c r="N86" s="89"/>
      <c r="O86" s="89"/>
      <c r="P86" s="89"/>
    </row>
    <row r="87">
      <c r="A87" s="94"/>
      <c r="B87" s="94"/>
      <c r="C87" s="96"/>
      <c r="D87" s="96"/>
      <c r="E87" s="96"/>
      <c r="F87" s="96"/>
      <c r="G87" s="96"/>
      <c r="H87" s="96"/>
      <c r="I87" s="96"/>
      <c r="J87" s="96"/>
      <c r="K87" s="96"/>
      <c r="L87" s="104"/>
      <c r="M87" s="96"/>
      <c r="N87" s="96"/>
      <c r="O87" s="96"/>
      <c r="P87" s="96"/>
    </row>
    <row r="88">
      <c r="A88" s="112" t="str">
        <f>'TRAMO MAS COMPROMETIDO'!A14</f>
        <v>Astra</v>
      </c>
      <c r="B88" s="124"/>
      <c r="C88" s="107"/>
      <c r="D88" s="107"/>
      <c r="E88" s="107"/>
      <c r="F88" s="107"/>
      <c r="G88" s="107"/>
      <c r="H88" s="107"/>
      <c r="I88" s="107"/>
      <c r="J88" s="107"/>
      <c r="K88" s="107"/>
      <c r="L88" s="108"/>
      <c r="M88" s="107"/>
      <c r="N88" s="107"/>
      <c r="O88" s="107"/>
      <c r="P88" s="107"/>
    </row>
    <row r="89">
      <c r="A89" s="100" t="s">
        <v>247</v>
      </c>
      <c r="B89" s="94"/>
      <c r="C89" s="96"/>
      <c r="D89" s="72">
        <f>IF(D90 &gt; 0, IF(E86 &gt; -18.8, -18.8 - E86, 0), 0)</f>
        <v>-17.535</v>
      </c>
      <c r="E89" s="89">
        <f>D89+E86</f>
        <v>-18.8</v>
      </c>
      <c r="F89" s="96"/>
      <c r="G89" s="89"/>
      <c r="H89" s="89"/>
      <c r="I89" s="89"/>
      <c r="J89" s="89"/>
      <c r="K89" s="89"/>
      <c r="L89" s="102"/>
      <c r="M89" s="89"/>
      <c r="N89" s="89"/>
      <c r="O89" s="89"/>
      <c r="P89" s="89"/>
    </row>
    <row r="90">
      <c r="A90" s="100" t="s">
        <v>156</v>
      </c>
      <c r="B90" s="94"/>
      <c r="C90" s="96"/>
      <c r="D90" s="72">
        <v>22.0</v>
      </c>
      <c r="E90" s="89">
        <f t="shared" ref="E90:E91" si="13">D90+E89</f>
        <v>3.2</v>
      </c>
      <c r="F90" s="96"/>
      <c r="G90" s="89">
        <f>'DATOS DE EQUIPOS'!H8</f>
        <v>5.5</v>
      </c>
      <c r="H90" s="89">
        <f>E89+158.9-10*LOG10('DATOS DE EQUIPOS'!B14)-G90</f>
        <v>33.63089987</v>
      </c>
      <c r="I90" s="89">
        <f>10^(H90/10)</f>
        <v>2307.225203</v>
      </c>
      <c r="J90" s="89">
        <f>HARMEAN(I6:I90)/19</f>
        <v>119.7675626</v>
      </c>
      <c r="K90" s="89">
        <f>10*LOG10(J90)</f>
        <v>20.78339211</v>
      </c>
      <c r="L90" s="102">
        <f>(2/3)^3*'DATOS DE EQUIPOS'!$R$8*'DATOS DE EQUIPOS'!$R$9^2*'NO LINEALIDADES'!E15*(10^(E90/10)*0.001)^2*LOG10(PI()^2*ABS('DATOS DE EQUIPOS'!$R$10*10^(-24))*'NO LINEALIDADES'!E15*'DATOS DE EQUIPOS'!$R$11^2*'DATOS DE EQUIPOS'!$R$12^2)*'DATOS DE EQUIPOS'!$R$13/(PI()*ABS('DATOS DE EQUIPOS'!$R$10*10^(-24))*'DATOS DE EQUIPOS'!$R$12^3)</f>
        <v>0.0004138985852</v>
      </c>
      <c r="M90" s="89">
        <f>1/L90</f>
        <v>2416.050781</v>
      </c>
      <c r="N90" s="89">
        <f>10*LOG10(M90)</f>
        <v>33.83106058</v>
      </c>
      <c r="O90" s="89">
        <f>HARMEAN(M6:M90)/14</f>
        <v>182.8049229</v>
      </c>
      <c r="P90" s="89">
        <f>10*LOG(O90)</f>
        <v>22.61987887</v>
      </c>
    </row>
    <row r="91">
      <c r="A91" s="67" t="s">
        <v>249</v>
      </c>
      <c r="B91" s="27">
        <f>'TRAMO MAS COMPROMETIDO'!C14</f>
        <v>60</v>
      </c>
      <c r="C91" s="72">
        <v>-0.235</v>
      </c>
      <c r="D91" s="89">
        <f>B91*C91</f>
        <v>-14.1</v>
      </c>
      <c r="E91" s="89">
        <f t="shared" si="13"/>
        <v>-10.9</v>
      </c>
      <c r="F91" s="89"/>
      <c r="G91" s="89"/>
      <c r="H91" s="89"/>
      <c r="I91" s="89"/>
      <c r="J91" s="89"/>
      <c r="K91" s="89"/>
      <c r="L91" s="102"/>
      <c r="M91" s="89"/>
      <c r="N91" s="89"/>
      <c r="O91" s="89"/>
      <c r="P91" s="89"/>
    </row>
    <row r="92">
      <c r="A92" s="94"/>
      <c r="B92" s="94"/>
      <c r="C92" s="96"/>
      <c r="D92" s="96"/>
      <c r="E92" s="96"/>
      <c r="F92" s="96"/>
      <c r="G92" s="96"/>
      <c r="H92" s="96"/>
      <c r="I92" s="96"/>
      <c r="J92" s="96"/>
      <c r="K92" s="96"/>
      <c r="L92" s="104"/>
      <c r="M92" s="96"/>
      <c r="N92" s="96"/>
      <c r="O92" s="96"/>
      <c r="P92" s="96"/>
    </row>
    <row r="93">
      <c r="A93" s="112" t="str">
        <f>'TRAMO MAS COMPROMETIDO'!A15</f>
        <v>Pampa Salamanca</v>
      </c>
      <c r="B93" s="106" t="s">
        <v>250</v>
      </c>
      <c r="C93" s="107"/>
      <c r="D93" s="107"/>
      <c r="E93" s="107"/>
      <c r="F93" s="107"/>
      <c r="G93" s="107"/>
      <c r="H93" s="107"/>
      <c r="I93" s="107"/>
      <c r="J93" s="107"/>
      <c r="K93" s="107"/>
      <c r="L93" s="108"/>
      <c r="M93" s="107"/>
      <c r="N93" s="107"/>
      <c r="O93" s="107"/>
      <c r="P93" s="107"/>
    </row>
    <row r="94">
      <c r="A94" s="100" t="s">
        <v>247</v>
      </c>
      <c r="B94" s="94"/>
      <c r="C94" s="96"/>
      <c r="D94" s="72">
        <f>IF(D95 &gt; 0, IF(E91 &gt; -18.8, -18.8 - E91, 0), 0)</f>
        <v>-7.9</v>
      </c>
      <c r="E94" s="89">
        <f>D94+E91</f>
        <v>-18.8</v>
      </c>
      <c r="F94" s="96"/>
      <c r="G94" s="89"/>
      <c r="H94" s="89"/>
      <c r="I94" s="89"/>
      <c r="J94" s="89"/>
      <c r="K94" s="89"/>
      <c r="L94" s="102"/>
      <c r="M94" s="89"/>
      <c r="N94" s="89"/>
      <c r="O94" s="89"/>
      <c r="P94" s="89"/>
    </row>
    <row r="95">
      <c r="A95" s="100" t="s">
        <v>156</v>
      </c>
      <c r="B95" s="94"/>
      <c r="C95" s="96"/>
      <c r="D95" s="72">
        <v>22.0</v>
      </c>
      <c r="E95" s="89">
        <f t="shared" ref="E95:E96" si="14">D95+E94</f>
        <v>3.2</v>
      </c>
      <c r="F95" s="96"/>
      <c r="G95" s="89">
        <f>'DATOS DE EQUIPOS'!H8</f>
        <v>5.5</v>
      </c>
      <c r="H95" s="89">
        <f>E94+158.9-10*LOG10('DATOS DE EQUIPOS'!B14)-G95</f>
        <v>33.63089987</v>
      </c>
      <c r="I95" s="89">
        <f>10^(H95/10)</f>
        <v>2307.225203</v>
      </c>
      <c r="J95" s="89">
        <f>HARMEAN(I6:I95)/20</f>
        <v>113.857257</v>
      </c>
      <c r="K95" s="89">
        <f>10*LOG10(J95)</f>
        <v>20.56360717</v>
      </c>
      <c r="L95" s="102">
        <f>(2/3)^3*'DATOS DE EQUIPOS'!$R$8*'DATOS DE EQUIPOS'!$R$9^2*'NO LINEALIDADES'!E16*(10^(E95/10)*0.001)^2*LOG10(PI()^2*ABS('DATOS DE EQUIPOS'!$R$10*10^(-24))*'NO LINEALIDADES'!E16*'DATOS DE EQUIPOS'!$R$11^2*'DATOS DE EQUIPOS'!$R$12^2)*'DATOS DE EQUIPOS'!$R$13/(PI()*ABS('DATOS DE EQUIPOS'!$R$10*10^(-24))*'DATOS DE EQUIPOS'!$R$12^3)</f>
        <v>0.0004318396897</v>
      </c>
      <c r="M95" s="89">
        <f>1/L95</f>
        <v>2315.674135</v>
      </c>
      <c r="N95" s="89">
        <f>10*LOG10(M95)</f>
        <v>33.64677445</v>
      </c>
      <c r="O95" s="89">
        <f>HARMEAN(M6:M95)/15</f>
        <v>169.4297298</v>
      </c>
      <c r="P95" s="89">
        <f>10*LOG(O95)</f>
        <v>22.28989618</v>
      </c>
    </row>
    <row r="96">
      <c r="A96" s="67" t="s">
        <v>249</v>
      </c>
      <c r="B96" s="27">
        <f>'TRAMO MAS COMPROMETIDO'!C15</f>
        <v>102</v>
      </c>
      <c r="C96" s="72">
        <v>-0.235</v>
      </c>
      <c r="D96" s="89">
        <f>B96*C96</f>
        <v>-23.97</v>
      </c>
      <c r="E96" s="89">
        <f t="shared" si="14"/>
        <v>-20.77</v>
      </c>
      <c r="F96" s="89"/>
      <c r="G96" s="89"/>
      <c r="H96" s="89"/>
      <c r="I96" s="89"/>
      <c r="J96" s="89"/>
      <c r="K96" s="89"/>
      <c r="L96" s="102"/>
      <c r="M96" s="89"/>
      <c r="N96" s="89"/>
      <c r="O96" s="89"/>
      <c r="P96" s="89"/>
    </row>
    <row r="97">
      <c r="A97" s="94"/>
      <c r="B97" s="94"/>
      <c r="C97" s="96"/>
      <c r="D97" s="96"/>
      <c r="E97" s="96"/>
      <c r="F97" s="96"/>
      <c r="G97" s="96"/>
      <c r="H97" s="96"/>
      <c r="I97" s="96"/>
      <c r="J97" s="96"/>
      <c r="K97" s="96"/>
      <c r="L97" s="104"/>
      <c r="M97" s="96"/>
      <c r="N97" s="96"/>
      <c r="O97" s="96"/>
      <c r="P97" s="96"/>
      <c r="S97" s="82"/>
    </row>
    <row r="98">
      <c r="A98" s="112" t="str">
        <f>'TRAMO MAS COMPROMETIDO'!A16</f>
        <v>Garayalde</v>
      </c>
      <c r="B98" s="125"/>
      <c r="C98" s="107"/>
      <c r="D98" s="107"/>
      <c r="E98" s="107"/>
      <c r="F98" s="107"/>
      <c r="G98" s="107"/>
      <c r="H98" s="107"/>
      <c r="I98" s="107"/>
      <c r="J98" s="107"/>
      <c r="K98" s="107"/>
      <c r="L98" s="108"/>
      <c r="M98" s="107"/>
      <c r="N98" s="107"/>
      <c r="O98" s="107"/>
      <c r="P98" s="107"/>
    </row>
    <row r="99">
      <c r="A99" s="100" t="s">
        <v>247</v>
      </c>
      <c r="B99" s="94"/>
      <c r="C99" s="96"/>
      <c r="D99" s="72">
        <f>IF(D100 &gt; 0, IF(E96 &gt; -18.8, -18.8 - E96, 0), 0)</f>
        <v>0</v>
      </c>
      <c r="E99" s="89">
        <f>D99+E96</f>
        <v>-20.77</v>
      </c>
      <c r="F99" s="96"/>
      <c r="G99" s="89"/>
      <c r="H99" s="89"/>
      <c r="I99" s="89"/>
      <c r="J99" s="89"/>
      <c r="K99" s="89"/>
      <c r="L99" s="102"/>
      <c r="M99" s="89"/>
      <c r="N99" s="89"/>
      <c r="O99" s="89"/>
      <c r="P99" s="89"/>
    </row>
    <row r="100">
      <c r="A100" s="100" t="s">
        <v>156</v>
      </c>
      <c r="B100" s="94"/>
      <c r="C100" s="96"/>
      <c r="D100" s="72">
        <v>22.0</v>
      </c>
      <c r="E100" s="89">
        <f t="shared" ref="E100:E101" si="15">D100+E99</f>
        <v>1.23</v>
      </c>
      <c r="F100" s="96"/>
      <c r="G100" s="89">
        <f>'DATOS DE EQUIPOS'!H8</f>
        <v>5.5</v>
      </c>
      <c r="H100" s="89">
        <f>E99+158.9-10*LOG10('DATOS DE EQUIPOS'!B14)-G100</f>
        <v>31.66089987</v>
      </c>
      <c r="I100" s="89">
        <f>10^(H100/10)</f>
        <v>1465.851538</v>
      </c>
      <c r="J100" s="89">
        <f>HARMEAN(I6:I100)/21</f>
        <v>105.6510135</v>
      </c>
      <c r="K100" s="89">
        <f>10*LOG10(J100)</f>
        <v>20.23873668</v>
      </c>
      <c r="L100" s="102">
        <f>(2/3)^3*'DATOS DE EQUIPOS'!$R$8*'DATOS DE EQUIPOS'!$R$9^2*'NO LINEALIDADES'!E17*(10^(E100/10)*0.001)^2*LOG10(PI()^2*ABS('DATOS DE EQUIPOS'!$R$10*10^(-24))*'NO LINEALIDADES'!E17*'DATOS DE EQUIPOS'!$R$11^2*'DATOS DE EQUIPOS'!$R$12^2)*'DATOS DE EQUIPOS'!$R$13/(PI()*ABS('DATOS DE EQUIPOS'!$R$10*10^(-24))*'DATOS DE EQUIPOS'!$R$12^3)</f>
        <v>0.0001746139938</v>
      </c>
      <c r="M100" s="89">
        <f>1/L100</f>
        <v>5726.917861</v>
      </c>
      <c r="N100" s="89">
        <f>10*LOG10(M100)</f>
        <v>37.57920954</v>
      </c>
      <c r="O100" s="89">
        <f>HARMEAN(M6:M100)/16</f>
        <v>164.5612188</v>
      </c>
      <c r="P100" s="89">
        <f>10*LOG(O100)</f>
        <v>22.16327495</v>
      </c>
    </row>
    <row r="101">
      <c r="A101" s="67" t="s">
        <v>249</v>
      </c>
      <c r="B101" s="27">
        <f>'TRAMO MAS COMPROMETIDO'!C16</f>
        <v>110</v>
      </c>
      <c r="C101" s="72">
        <v>-0.235</v>
      </c>
      <c r="D101" s="89">
        <f>B101*C101</f>
        <v>-25.85</v>
      </c>
      <c r="E101" s="89">
        <f t="shared" si="15"/>
        <v>-24.62</v>
      </c>
      <c r="F101" s="89"/>
      <c r="G101" s="89"/>
      <c r="H101" s="89"/>
      <c r="I101" s="89"/>
      <c r="J101" s="89"/>
      <c r="K101" s="89"/>
      <c r="L101" s="102"/>
      <c r="M101" s="89"/>
      <c r="N101" s="89"/>
      <c r="O101" s="89"/>
      <c r="P101" s="89"/>
    </row>
    <row r="102">
      <c r="A102" s="94"/>
      <c r="B102" s="94"/>
      <c r="C102" s="96"/>
      <c r="D102" s="96"/>
      <c r="E102" s="96"/>
      <c r="F102" s="96"/>
      <c r="G102" s="96"/>
      <c r="H102" s="96"/>
      <c r="I102" s="96"/>
      <c r="J102" s="96"/>
      <c r="K102" s="96"/>
      <c r="L102" s="104"/>
      <c r="M102" s="96"/>
      <c r="N102" s="96"/>
      <c r="O102" s="96"/>
      <c r="P102" s="96"/>
    </row>
    <row r="103">
      <c r="A103" s="122" t="str">
        <f>'TRAMO MAS COMPROMETIDO'!A17</f>
        <v>Florentino Ameghino</v>
      </c>
      <c r="B103" s="106" t="s">
        <v>250</v>
      </c>
      <c r="C103" s="107"/>
      <c r="D103" s="107"/>
      <c r="E103" s="107"/>
      <c r="F103" s="107"/>
      <c r="G103" s="107"/>
      <c r="H103" s="107"/>
      <c r="I103" s="107"/>
      <c r="J103" s="107"/>
      <c r="K103" s="107"/>
      <c r="L103" s="108"/>
      <c r="M103" s="107"/>
      <c r="N103" s="107"/>
      <c r="O103" s="107"/>
      <c r="P103" s="107"/>
    </row>
    <row r="104">
      <c r="A104" s="100" t="s">
        <v>247</v>
      </c>
      <c r="B104" s="94"/>
      <c r="C104" s="96"/>
      <c r="D104" s="72">
        <f>IF(D105 &gt; 0, IF(E101 &gt; -18.8, -18.8 - E101, 0), 0)</f>
        <v>0</v>
      </c>
      <c r="E104" s="89">
        <f>D104+E101</f>
        <v>-24.62</v>
      </c>
      <c r="F104" s="96"/>
      <c r="G104" s="89"/>
      <c r="H104" s="89"/>
      <c r="I104" s="89"/>
      <c r="J104" s="89"/>
      <c r="K104" s="89"/>
      <c r="L104" s="102"/>
      <c r="M104" s="89"/>
      <c r="N104" s="89"/>
      <c r="O104" s="89"/>
      <c r="P104" s="89"/>
    </row>
    <row r="105">
      <c r="A105" s="100" t="s">
        <v>156</v>
      </c>
      <c r="B105" s="94"/>
      <c r="C105" s="96"/>
      <c r="D105" s="72">
        <v>22.0</v>
      </c>
      <c r="E105" s="89">
        <f t="shared" ref="E105:E106" si="16">D105+E104</f>
        <v>-2.62</v>
      </c>
      <c r="F105" s="96"/>
      <c r="G105" s="89">
        <f>'DATOS DE EQUIPOS'!H8</f>
        <v>5.5</v>
      </c>
      <c r="H105" s="89">
        <f>E104+158.9-10*LOG10('DATOS DE EQUIPOS'!B14)-G105</f>
        <v>27.81089987</v>
      </c>
      <c r="I105" s="89">
        <f>10^(H105/10)</f>
        <v>604.0737821</v>
      </c>
      <c r="J105" s="89">
        <f>HARMEAN(I6:I105)/22</f>
        <v>89.92359815</v>
      </c>
      <c r="K105" s="89">
        <f>10*LOG10(J105)</f>
        <v>19.53873676</v>
      </c>
      <c r="L105" s="102">
        <f>(2/3)^3*'DATOS DE EQUIPOS'!$R$8*'DATOS DE EQUIPOS'!$R$9^2*'NO LINEALIDADES'!E18*(10^(E105/10)*0.001)^2*LOG10(PI()^2*ABS('DATOS DE EQUIPOS'!$R$10*10^(-24))*'NO LINEALIDADES'!E18*'DATOS DE EQUIPOS'!$R$11^2*'DATOS DE EQUIPOS'!$R$12^2)*'DATOS DE EQUIPOS'!$R$13/(PI()*ABS('DATOS DE EQUIPOS'!$R$10*10^(-24))*'DATOS DE EQUIPOS'!$R$12^3)</f>
        <v>0.00002938397065</v>
      </c>
      <c r="M105" s="89">
        <f>1/L105</f>
        <v>34032.16032</v>
      </c>
      <c r="N105" s="89">
        <f>10*LOG10(M105)</f>
        <v>45.31889518</v>
      </c>
      <c r="O105" s="89">
        <f>HARMEAN(M6:M105)/17</f>
        <v>163.7693185</v>
      </c>
      <c r="P105" s="89">
        <f>10*LOG(O105)</f>
        <v>22.14232542</v>
      </c>
    </row>
    <row r="106">
      <c r="A106" s="67" t="s">
        <v>249</v>
      </c>
      <c r="B106" s="27">
        <f>'TRAMO MAS COMPROMETIDO'!C17</f>
        <v>85</v>
      </c>
      <c r="C106" s="72">
        <v>-0.235</v>
      </c>
      <c r="D106" s="89">
        <f>B106*C106</f>
        <v>-19.975</v>
      </c>
      <c r="E106" s="89">
        <f t="shared" si="16"/>
        <v>-22.595</v>
      </c>
      <c r="F106" s="89"/>
      <c r="G106" s="89"/>
      <c r="H106" s="89"/>
      <c r="I106" s="89"/>
      <c r="J106" s="89"/>
      <c r="K106" s="89"/>
      <c r="L106" s="102"/>
      <c r="M106" s="89"/>
      <c r="N106" s="89"/>
      <c r="O106" s="89"/>
      <c r="P106" s="89"/>
    </row>
    <row r="107">
      <c r="A107" s="94"/>
      <c r="B107" s="94"/>
      <c r="C107" s="96"/>
      <c r="D107" s="96"/>
      <c r="E107" s="96"/>
      <c r="F107" s="96"/>
      <c r="G107" s="96"/>
      <c r="H107" s="96"/>
      <c r="I107" s="96"/>
      <c r="J107" s="96"/>
      <c r="K107" s="96"/>
      <c r="L107" s="104"/>
      <c r="M107" s="96"/>
      <c r="N107" s="96"/>
      <c r="O107" s="96"/>
      <c r="P107" s="96"/>
    </row>
    <row r="108">
      <c r="A108" s="113" t="str">
        <f>'TRAMO MAS COMPROMETIDO'!A18</f>
        <v>Rawson</v>
      </c>
      <c r="B108" s="114"/>
      <c r="C108" s="115"/>
      <c r="D108" s="115"/>
      <c r="E108" s="115"/>
      <c r="F108" s="115"/>
      <c r="G108" s="115"/>
      <c r="H108" s="115"/>
      <c r="I108" s="115"/>
      <c r="J108" s="115"/>
      <c r="K108" s="115"/>
      <c r="L108" s="116"/>
      <c r="M108" s="115"/>
      <c r="N108" s="115"/>
      <c r="O108" s="115"/>
      <c r="P108" s="115"/>
    </row>
    <row r="109">
      <c r="A109" s="72" t="s">
        <v>251</v>
      </c>
      <c r="B109" s="94"/>
      <c r="C109" s="96"/>
      <c r="D109" s="72">
        <f>IF(D110 &gt; 0, IF(E106 &gt; -18.8, -18.8 - E106, 0), 0)</f>
        <v>0</v>
      </c>
      <c r="E109" s="89">
        <f>D109+E106</f>
        <v>-22.595</v>
      </c>
      <c r="F109" s="96"/>
      <c r="G109" s="89"/>
      <c r="H109" s="89"/>
      <c r="I109" s="89"/>
      <c r="J109" s="89"/>
      <c r="K109" s="89"/>
      <c r="L109" s="102"/>
      <c r="M109" s="89"/>
      <c r="N109" s="89"/>
      <c r="O109" s="89"/>
      <c r="P109" s="89"/>
    </row>
    <row r="110">
      <c r="A110" s="72" t="s">
        <v>252</v>
      </c>
      <c r="B110" s="94"/>
      <c r="C110" s="96"/>
      <c r="D110" s="72">
        <v>22.0</v>
      </c>
      <c r="E110" s="89">
        <f t="shared" ref="E110:E115" si="17">D110+E109</f>
        <v>-0.595</v>
      </c>
      <c r="F110" s="96"/>
      <c r="G110" s="89">
        <f>'DATOS DE EQUIPOS'!E10</f>
        <v>8</v>
      </c>
      <c r="H110" s="89">
        <f>E109+158.9-10*LOG10('DATOS DE EQUIPOS'!B14)-G110</f>
        <v>27.33589987</v>
      </c>
      <c r="I110" s="89">
        <f>10^(H110/10)</f>
        <v>541.4894343</v>
      </c>
      <c r="J110" s="89">
        <f>HARMEAN(I6:I110)/23</f>
        <v>77.11699916</v>
      </c>
      <c r="K110" s="89">
        <f>10*LOG10(J110)</f>
        <v>18.87150122</v>
      </c>
      <c r="L110" s="102"/>
      <c r="M110" s="89"/>
      <c r="N110" s="126"/>
      <c r="O110" s="89"/>
      <c r="P110" s="89"/>
    </row>
    <row r="111">
      <c r="A111" s="109" t="s">
        <v>253</v>
      </c>
      <c r="B111" s="117"/>
      <c r="C111" s="117"/>
      <c r="D111" s="118">
        <v>-5.0</v>
      </c>
      <c r="E111" s="110">
        <f t="shared" si="17"/>
        <v>-5.595</v>
      </c>
      <c r="F111" s="117"/>
      <c r="G111" s="119"/>
      <c r="H111" s="119"/>
      <c r="I111" s="119"/>
      <c r="J111" s="89"/>
      <c r="K111" s="89"/>
      <c r="L111" s="102"/>
      <c r="M111" s="89"/>
      <c r="N111" s="89"/>
      <c r="O111" s="89"/>
      <c r="P111" s="89"/>
    </row>
    <row r="112">
      <c r="A112" s="72" t="s">
        <v>246</v>
      </c>
      <c r="B112" s="94"/>
      <c r="C112" s="96"/>
      <c r="D112" s="72">
        <v>-5.0</v>
      </c>
      <c r="E112" s="89">
        <f t="shared" si="17"/>
        <v>-10.595</v>
      </c>
      <c r="F112" s="96"/>
      <c r="G112" s="89"/>
      <c r="H112" s="89"/>
      <c r="I112" s="89"/>
      <c r="J112" s="89"/>
      <c r="K112" s="89"/>
      <c r="L112" s="102"/>
      <c r="M112" s="89"/>
      <c r="N112" s="89"/>
      <c r="O112" s="89"/>
      <c r="P112" s="89"/>
    </row>
    <row r="113">
      <c r="A113" s="72" t="s">
        <v>247</v>
      </c>
      <c r="B113" s="94"/>
      <c r="C113" s="96"/>
      <c r="D113" s="72">
        <f>IF(E112 &gt; -14.8, -14.8 - E112, 0)</f>
        <v>-4.205</v>
      </c>
      <c r="E113" s="89">
        <f t="shared" si="17"/>
        <v>-14.8</v>
      </c>
      <c r="F113" s="96"/>
      <c r="G113" s="89"/>
      <c r="H113" s="89"/>
      <c r="I113" s="89"/>
      <c r="J113" s="89"/>
      <c r="K113" s="89"/>
      <c r="L113" s="102"/>
      <c r="M113" s="89"/>
      <c r="N113" s="89"/>
      <c r="O113" s="89"/>
      <c r="P113" s="89"/>
    </row>
    <row r="114">
      <c r="A114" s="72" t="s">
        <v>254</v>
      </c>
      <c r="B114" s="94"/>
      <c r="C114" s="96"/>
      <c r="D114" s="72">
        <v>18.0</v>
      </c>
      <c r="E114" s="89">
        <f t="shared" si="17"/>
        <v>3.2</v>
      </c>
      <c r="F114" s="96"/>
      <c r="G114" s="89">
        <f>'DATOS DE EQUIPOS'!E14</f>
        <v>6.5</v>
      </c>
      <c r="H114" s="89">
        <f>E113+158.9-10*LOG10('DATOS DE EQUIPOS'!B14)-G114</f>
        <v>36.63089987</v>
      </c>
      <c r="I114" s="89">
        <f>10^(H114/10)</f>
        <v>4603.519499</v>
      </c>
      <c r="J114" s="89">
        <f>HARMEAN(I6:I114)/24</f>
        <v>75.84643872</v>
      </c>
      <c r="K114" s="89">
        <f>10*LOG10(J114)</f>
        <v>18.79935194</v>
      </c>
      <c r="L114" s="102">
        <f>(2/3)^3*'DATOS DE EQUIPOS'!$R$8*'DATOS DE EQUIPOS'!$R$9^2*'NO LINEALIDADES'!E19*(10^(E114/10)*0.001)^2*LOG10(PI()^2*ABS('DATOS DE EQUIPOS'!$R$10*10^(-24))*'NO LINEALIDADES'!E19*'DATOS DE EQUIPOS'!$R$11^2*'DATOS DE EQUIPOS'!$R$12^2)*'DATOS DE EQUIPOS'!$R$13/(PI()*ABS('DATOS DE EQUIPOS'!$R$10*10^(-24))*'DATOS DE EQUIPOS'!$R$12^3)</f>
        <v>0.0002858706757</v>
      </c>
      <c r="M114" s="89">
        <f>1/L114</f>
        <v>3498.085271</v>
      </c>
      <c r="N114" s="89">
        <f>10*LOG10(M114)</f>
        <v>35.43830392</v>
      </c>
      <c r="O114" s="89">
        <f>HARMEAN(M6:M114)/18</f>
        <v>156.4450545</v>
      </c>
      <c r="P114" s="89">
        <f>10*LOG(O114)</f>
        <v>21.94361839</v>
      </c>
    </row>
    <row r="115">
      <c r="A115" s="67" t="s">
        <v>249</v>
      </c>
      <c r="B115" s="27">
        <f>'TRAMO MAS COMPROMETIDO'!C18</f>
        <v>22</v>
      </c>
      <c r="C115" s="72">
        <v>-0.235</v>
      </c>
      <c r="D115" s="89">
        <f>B115*C115</f>
        <v>-5.17</v>
      </c>
      <c r="E115" s="89">
        <f t="shared" si="17"/>
        <v>-1.97</v>
      </c>
      <c r="F115" s="89"/>
      <c r="G115" s="89"/>
      <c r="H115" s="89"/>
      <c r="I115" s="89"/>
      <c r="J115" s="89"/>
      <c r="K115" s="89"/>
      <c r="L115" s="102"/>
      <c r="M115" s="89"/>
      <c r="N115" s="89"/>
      <c r="O115" s="89"/>
      <c r="P115" s="89"/>
    </row>
    <row r="116">
      <c r="A116" s="94"/>
      <c r="B116" s="94"/>
      <c r="C116" s="96"/>
      <c r="D116" s="96"/>
      <c r="E116" s="96"/>
      <c r="F116" s="96"/>
      <c r="G116" s="96"/>
      <c r="H116" s="96"/>
      <c r="I116" s="96"/>
      <c r="J116" s="96"/>
      <c r="K116" s="96"/>
      <c r="L116" s="104"/>
      <c r="M116" s="96"/>
      <c r="N116" s="96"/>
      <c r="O116" s="96"/>
      <c r="P116" s="96"/>
    </row>
    <row r="117">
      <c r="A117" s="113" t="str">
        <f>'TRAMO MAS COMPROMETIDO'!A19</f>
        <v>Trelew</v>
      </c>
      <c r="B117" s="114"/>
      <c r="C117" s="115"/>
      <c r="D117" s="115"/>
      <c r="E117" s="115"/>
      <c r="F117" s="115"/>
      <c r="G117" s="115"/>
      <c r="H117" s="115"/>
      <c r="I117" s="115"/>
      <c r="J117" s="115"/>
      <c r="K117" s="115"/>
      <c r="L117" s="116"/>
      <c r="M117" s="115"/>
      <c r="N117" s="115"/>
      <c r="O117" s="115"/>
      <c r="P117" s="115"/>
    </row>
    <row r="118">
      <c r="A118" s="72" t="s">
        <v>251</v>
      </c>
      <c r="B118" s="94"/>
      <c r="C118" s="96"/>
      <c r="D118" s="72">
        <f>IF(D119 &gt; 0, IF(E115 &gt; -18.8, -18.8 - E115, 0), 0)</f>
        <v>-16.83</v>
      </c>
      <c r="E118" s="89">
        <f>D118+E115</f>
        <v>-18.8</v>
      </c>
      <c r="F118" s="96"/>
      <c r="G118" s="89"/>
      <c r="H118" s="89"/>
      <c r="I118" s="89"/>
      <c r="J118" s="89"/>
      <c r="K118" s="89"/>
      <c r="L118" s="102"/>
      <c r="M118" s="89"/>
      <c r="N118" s="89"/>
      <c r="O118" s="89"/>
      <c r="P118" s="89"/>
    </row>
    <row r="119">
      <c r="A119" s="72" t="s">
        <v>252</v>
      </c>
      <c r="B119" s="94"/>
      <c r="C119" s="96"/>
      <c r="D119" s="72">
        <v>22.0</v>
      </c>
      <c r="E119" s="89">
        <f t="shared" ref="E119:E124" si="18">D119+E118</f>
        <v>3.2</v>
      </c>
      <c r="F119" s="96"/>
      <c r="G119" s="89">
        <f>'DATOS DE EQUIPOS'!E10</f>
        <v>8</v>
      </c>
      <c r="H119" s="89">
        <f>E118+158.9-10*LOG10('DATOS DE EQUIPOS'!B14)-G119</f>
        <v>31.13089987</v>
      </c>
      <c r="I119" s="89">
        <f>10^(H119/10)</f>
        <v>1297.448078</v>
      </c>
      <c r="J119" s="89">
        <f>HARMEAN(I6:I119)/25</f>
        <v>71.65747401</v>
      </c>
      <c r="K119" s="89">
        <f>10*LOG10(J119)</f>
        <v>18.55261495</v>
      </c>
      <c r="L119" s="102"/>
      <c r="M119" s="89"/>
      <c r="N119" s="89"/>
      <c r="O119" s="89"/>
      <c r="P119" s="89"/>
    </row>
    <row r="120">
      <c r="A120" s="109" t="s">
        <v>253</v>
      </c>
      <c r="B120" s="117"/>
      <c r="C120" s="117"/>
      <c r="D120" s="118">
        <v>-5.0</v>
      </c>
      <c r="E120" s="110">
        <f t="shared" si="18"/>
        <v>-1.8</v>
      </c>
      <c r="F120" s="117"/>
      <c r="G120" s="119"/>
      <c r="H120" s="119"/>
      <c r="I120" s="119"/>
      <c r="J120" s="119"/>
      <c r="K120" s="119"/>
      <c r="L120" s="102"/>
      <c r="M120" s="89"/>
      <c r="N120" s="89"/>
      <c r="O120" s="89"/>
      <c r="P120" s="89"/>
    </row>
    <row r="121">
      <c r="A121" s="72" t="s">
        <v>246</v>
      </c>
      <c r="B121" s="94"/>
      <c r="C121" s="96"/>
      <c r="D121" s="72">
        <v>-5.0</v>
      </c>
      <c r="E121" s="89">
        <f t="shared" si="18"/>
        <v>-6.8</v>
      </c>
      <c r="F121" s="96"/>
      <c r="G121" s="89"/>
      <c r="H121" s="89"/>
      <c r="I121" s="89"/>
      <c r="J121" s="89"/>
      <c r="K121" s="89"/>
      <c r="L121" s="102"/>
      <c r="M121" s="89"/>
      <c r="N121" s="89"/>
      <c r="O121" s="89"/>
      <c r="P121" s="89"/>
    </row>
    <row r="122">
      <c r="A122" s="72" t="s">
        <v>247</v>
      </c>
      <c r="B122" s="94"/>
      <c r="C122" s="96"/>
      <c r="D122" s="72">
        <f>IF(E121 &gt; -14.8, -14.8 - E121, 0)</f>
        <v>-8</v>
      </c>
      <c r="E122" s="89">
        <f t="shared" si="18"/>
        <v>-14.8</v>
      </c>
      <c r="F122" s="96"/>
      <c r="G122" s="89"/>
      <c r="H122" s="89"/>
      <c r="I122" s="89"/>
      <c r="J122" s="89"/>
      <c r="K122" s="89"/>
      <c r="L122" s="102"/>
      <c r="M122" s="89"/>
      <c r="N122" s="89"/>
      <c r="O122" s="89"/>
      <c r="P122" s="89"/>
    </row>
    <row r="123">
      <c r="A123" s="72" t="s">
        <v>254</v>
      </c>
      <c r="B123" s="94"/>
      <c r="C123" s="96"/>
      <c r="D123" s="72">
        <v>18.0</v>
      </c>
      <c r="E123" s="89">
        <f t="shared" si="18"/>
        <v>3.2</v>
      </c>
      <c r="F123" s="96"/>
      <c r="G123" s="89">
        <f>'DATOS DE EQUIPOS'!E14</f>
        <v>6.5</v>
      </c>
      <c r="H123" s="89">
        <f>E122+158.9-10*LOG10('DATOS DE EQUIPOS'!B14)-G123</f>
        <v>36.63089987</v>
      </c>
      <c r="I123" s="89">
        <f>10^(H123/10)</f>
        <v>4603.519499</v>
      </c>
      <c r="J123" s="89">
        <f>HARMEAN(I6:I123)/26</f>
        <v>70.55916402</v>
      </c>
      <c r="K123" s="89">
        <f>10*LOG10(J123)</f>
        <v>18.48553427</v>
      </c>
      <c r="L123" s="102">
        <f>(2/3)^3*'DATOS DE EQUIPOS'!$R$8*'DATOS DE EQUIPOS'!$R$9^2*'NO LINEALIDADES'!E20*(10^(E123/10)*0.001)^2*LOG10(PI()^2*ABS('DATOS DE EQUIPOS'!$R$10*10^(-24))*'NO LINEALIDADES'!E20*'DATOS DE EQUIPOS'!$R$11^2*'DATOS DE EQUIPOS'!$R$12^2)*'DATOS DE EQUIPOS'!$R$13/(PI()*ABS('DATOS DE EQUIPOS'!$R$10*10^(-24))*'DATOS DE EQUIPOS'!$R$12^3)</f>
        <v>0.0004215167534</v>
      </c>
      <c r="M123" s="89">
        <f>1/L123</f>
        <v>2372.384945</v>
      </c>
      <c r="N123" s="89">
        <f>10*LOG10(M123)</f>
        <v>33.75185159</v>
      </c>
      <c r="O123" s="89">
        <f>HARMEAN(M6:M123)/19</f>
        <v>146.7666439</v>
      </c>
      <c r="P123" s="89">
        <f>10*LOG(O123)</f>
        <v>21.66627363</v>
      </c>
    </row>
    <row r="124">
      <c r="A124" s="67" t="s">
        <v>249</v>
      </c>
      <c r="B124" s="27">
        <f>'TRAMO MAS COMPROMETIDO'!C19</f>
        <v>69</v>
      </c>
      <c r="C124" s="72">
        <v>-0.235</v>
      </c>
      <c r="D124" s="89">
        <f>B124*C124</f>
        <v>-16.215</v>
      </c>
      <c r="E124" s="89">
        <f t="shared" si="18"/>
        <v>-13.015</v>
      </c>
      <c r="F124" s="89"/>
      <c r="G124" s="89"/>
      <c r="H124" s="89"/>
      <c r="I124" s="89"/>
      <c r="J124" s="89"/>
      <c r="K124" s="89"/>
      <c r="L124" s="102"/>
      <c r="M124" s="89"/>
      <c r="N124" s="89"/>
      <c r="O124" s="89"/>
      <c r="P124" s="89"/>
    </row>
    <row r="125">
      <c r="A125" s="94"/>
      <c r="B125" s="95"/>
      <c r="C125" s="96"/>
      <c r="D125" s="96"/>
      <c r="E125" s="96"/>
      <c r="F125" s="96"/>
      <c r="G125" s="96"/>
      <c r="H125" s="96"/>
      <c r="I125" s="96"/>
      <c r="J125" s="96"/>
      <c r="K125" s="96"/>
      <c r="L125" s="104"/>
      <c r="M125" s="96"/>
      <c r="N125" s="96"/>
      <c r="O125" s="96"/>
      <c r="P125" s="96"/>
    </row>
    <row r="126">
      <c r="A126" s="113" t="str">
        <f>'TRAMO MAS COMPROMETIDO'!A20</f>
        <v>Puerto Madryn</v>
      </c>
      <c r="B126" s="114"/>
      <c r="C126" s="115"/>
      <c r="D126" s="115"/>
      <c r="E126" s="115"/>
      <c r="F126" s="115"/>
      <c r="G126" s="115"/>
      <c r="H126" s="115"/>
      <c r="I126" s="115"/>
      <c r="J126" s="115"/>
      <c r="K126" s="115"/>
      <c r="L126" s="116"/>
      <c r="M126" s="115"/>
      <c r="N126" s="115"/>
      <c r="O126" s="115"/>
      <c r="P126" s="115"/>
    </row>
    <row r="127">
      <c r="A127" s="72" t="s">
        <v>251</v>
      </c>
      <c r="B127" s="94"/>
      <c r="C127" s="96"/>
      <c r="D127" s="72">
        <f>IF(D128 &gt; 0, IF(E124 &gt; -18.8, -18.8 - E124, 0), 0)</f>
        <v>-5.785</v>
      </c>
      <c r="E127" s="89">
        <f>D127+E124</f>
        <v>-18.8</v>
      </c>
      <c r="F127" s="96"/>
      <c r="G127" s="89"/>
      <c r="H127" s="89"/>
      <c r="I127" s="89"/>
      <c r="J127" s="89"/>
      <c r="K127" s="89"/>
      <c r="L127" s="102"/>
      <c r="M127" s="89"/>
      <c r="N127" s="89"/>
      <c r="O127" s="89"/>
      <c r="P127" s="89"/>
    </row>
    <row r="128">
      <c r="A128" s="72" t="s">
        <v>252</v>
      </c>
      <c r="B128" s="94"/>
      <c r="C128" s="96"/>
      <c r="D128" s="72">
        <v>22.0</v>
      </c>
      <c r="E128" s="89">
        <f t="shared" ref="E128:E133" si="19">D128+E127</f>
        <v>3.2</v>
      </c>
      <c r="F128" s="96"/>
      <c r="G128" s="89">
        <f>'DATOS DE EQUIPOS'!E10</f>
        <v>8</v>
      </c>
      <c r="H128" s="89">
        <f>E127+158.9-10*LOG10('DATOS DE EQUIPOS'!B14)-G128</f>
        <v>31.13089987</v>
      </c>
      <c r="I128" s="89">
        <f>10^(H128/10)</f>
        <v>1297.448078</v>
      </c>
      <c r="J128" s="89">
        <f>HARMEAN(I6:I128)/27</f>
        <v>66.919859</v>
      </c>
      <c r="K128" s="89">
        <f>10*LOG10(J128)</f>
        <v>18.25555017</v>
      </c>
      <c r="L128" s="102"/>
      <c r="M128" s="89"/>
      <c r="N128" s="89"/>
      <c r="O128" s="89"/>
      <c r="P128" s="89"/>
    </row>
    <row r="129">
      <c r="A129" s="109" t="s">
        <v>253</v>
      </c>
      <c r="B129" s="117"/>
      <c r="C129" s="117"/>
      <c r="D129" s="118">
        <v>-5.0</v>
      </c>
      <c r="E129" s="110">
        <f t="shared" si="19"/>
        <v>-1.8</v>
      </c>
      <c r="F129" s="117"/>
      <c r="G129" s="119"/>
      <c r="H129" s="119"/>
      <c r="I129" s="89"/>
      <c r="J129" s="89"/>
      <c r="K129" s="89"/>
      <c r="L129" s="102"/>
      <c r="M129" s="89"/>
      <c r="N129" s="89"/>
      <c r="O129" s="89"/>
      <c r="P129" s="89"/>
    </row>
    <row r="130">
      <c r="A130" s="72" t="s">
        <v>246</v>
      </c>
      <c r="B130" s="94"/>
      <c r="C130" s="96"/>
      <c r="D130" s="72">
        <v>-5.0</v>
      </c>
      <c r="E130" s="89">
        <f t="shared" si="19"/>
        <v>-6.8</v>
      </c>
      <c r="F130" s="96"/>
      <c r="G130" s="89"/>
      <c r="H130" s="89"/>
      <c r="I130" s="89"/>
      <c r="J130" s="89"/>
      <c r="K130" s="89"/>
      <c r="L130" s="102"/>
      <c r="M130" s="89"/>
      <c r="N130" s="89"/>
      <c r="O130" s="89"/>
      <c r="P130" s="89"/>
    </row>
    <row r="131">
      <c r="A131" s="72" t="s">
        <v>247</v>
      </c>
      <c r="B131" s="94"/>
      <c r="C131" s="96"/>
      <c r="D131" s="72">
        <f>IF(E130 &gt; -14.8, -14.8 - E130, 0)</f>
        <v>-8</v>
      </c>
      <c r="E131" s="89">
        <f t="shared" si="19"/>
        <v>-14.8</v>
      </c>
      <c r="F131" s="96"/>
      <c r="G131" s="89"/>
      <c r="H131" s="89"/>
      <c r="I131" s="89"/>
      <c r="J131" s="89"/>
      <c r="K131" s="89"/>
      <c r="L131" s="102"/>
      <c r="M131" s="89"/>
      <c r="N131" s="89"/>
      <c r="O131" s="89"/>
      <c r="P131" s="89"/>
    </row>
    <row r="132">
      <c r="A132" s="72" t="s">
        <v>254</v>
      </c>
      <c r="B132" s="94"/>
      <c r="C132" s="96"/>
      <c r="D132" s="72">
        <v>18.0</v>
      </c>
      <c r="E132" s="89">
        <f t="shared" si="19"/>
        <v>3.2</v>
      </c>
      <c r="F132" s="96"/>
      <c r="G132" s="89">
        <f>'DATOS DE EQUIPOS'!E14</f>
        <v>6.5</v>
      </c>
      <c r="H132" s="89">
        <f>E131+158.9-10*LOG10('DATOS DE EQUIPOS'!B14)-G132</f>
        <v>36.63089987</v>
      </c>
      <c r="I132" s="89">
        <f>10^(H132/10)</f>
        <v>4603.519499</v>
      </c>
      <c r="J132" s="89">
        <f>HARMEAN(I6:I132)/28</f>
        <v>65.96100541</v>
      </c>
      <c r="K132" s="89">
        <f>10*LOG10(J132)</f>
        <v>18.19287267</v>
      </c>
      <c r="L132" s="102">
        <f>(2/3)^3*'DATOS DE EQUIPOS'!$R$8*'DATOS DE EQUIPOS'!$R$9^2*'NO LINEALIDADES'!E21*(10^(E132/10)*0.001)^2*LOG10(PI()^2*ABS('DATOS DE EQUIPOS'!$R$10*10^(-24))*'NO LINEALIDADES'!E21*'DATOS DE EQUIPOS'!$R$11^2*'DATOS DE EQUIPOS'!$R$12^2)*'DATOS DE EQUIPOS'!$R$13/(PI()*ABS('DATOS DE EQUIPOS'!$R$10*10^(-24))*'DATOS DE EQUIPOS'!$R$12^3)</f>
        <v>0.0004315961486</v>
      </c>
      <c r="M132" s="89">
        <f>1/L132</f>
        <v>2316.980824</v>
      </c>
      <c r="N132" s="89">
        <f>10*LOG10(M132)</f>
        <v>33.64922439</v>
      </c>
      <c r="O132" s="89">
        <f>HARMEAN(M6:M132)/20</f>
        <v>138.023683</v>
      </c>
      <c r="P132" s="89">
        <f>10*LOG(O132)</f>
        <v>21.39953612</v>
      </c>
    </row>
    <row r="133">
      <c r="A133" s="67" t="s">
        <v>249</v>
      </c>
      <c r="B133" s="27">
        <f>'TRAMO MAS COMPROMETIDO'!C20</f>
        <v>100</v>
      </c>
      <c r="C133" s="72">
        <v>-0.235</v>
      </c>
      <c r="D133" s="89">
        <f>B133*C133</f>
        <v>-23.5</v>
      </c>
      <c r="E133" s="89">
        <f t="shared" si="19"/>
        <v>-20.3</v>
      </c>
      <c r="F133" s="89"/>
      <c r="G133" s="89"/>
      <c r="H133" s="89"/>
      <c r="I133" s="89"/>
      <c r="J133" s="89"/>
      <c r="K133" s="89"/>
      <c r="L133" s="102"/>
      <c r="M133" s="89"/>
      <c r="N133" s="89"/>
      <c r="O133" s="89"/>
      <c r="P133" s="89"/>
    </row>
    <row r="134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104"/>
      <c r="M134" s="96"/>
      <c r="N134" s="96"/>
      <c r="O134" s="96"/>
      <c r="P134" s="96"/>
    </row>
    <row r="135">
      <c r="A135" s="112" t="str">
        <f>'TRAMO MAS COMPROMETIDO'!A21</f>
        <v>Arroyo Verde</v>
      </c>
      <c r="B135" s="124"/>
      <c r="C135" s="107"/>
      <c r="D135" s="107"/>
      <c r="E135" s="107"/>
      <c r="F135" s="107"/>
      <c r="G135" s="107"/>
      <c r="H135" s="107"/>
      <c r="I135" s="107"/>
      <c r="J135" s="107"/>
      <c r="K135" s="107"/>
      <c r="L135" s="108"/>
      <c r="M135" s="107"/>
      <c r="N135" s="107"/>
      <c r="O135" s="107"/>
      <c r="P135" s="107"/>
    </row>
    <row r="136">
      <c r="A136" s="100" t="s">
        <v>247</v>
      </c>
      <c r="B136" s="94"/>
      <c r="C136" s="96"/>
      <c r="D136" s="72">
        <f>IF(D137 &gt; 0, IF(E133 &gt; -18.8, -18.8 - E133, 0), 0)</f>
        <v>0</v>
      </c>
      <c r="E136" s="89">
        <f>D136+E133</f>
        <v>-20.3</v>
      </c>
      <c r="F136" s="96"/>
      <c r="G136" s="89"/>
      <c r="H136" s="89"/>
      <c r="I136" s="89"/>
      <c r="J136" s="89"/>
      <c r="K136" s="89"/>
      <c r="L136" s="102"/>
      <c r="M136" s="89"/>
      <c r="N136" s="89"/>
      <c r="O136" s="89"/>
      <c r="P136" s="89"/>
    </row>
    <row r="137">
      <c r="A137" s="100" t="s">
        <v>156</v>
      </c>
      <c r="B137" s="94"/>
      <c r="C137" s="96"/>
      <c r="D137" s="72">
        <v>22.0</v>
      </c>
      <c r="E137" s="89">
        <f t="shared" ref="E137:E138" si="20">D137+E136</f>
        <v>1.7</v>
      </c>
      <c r="F137" s="96"/>
      <c r="G137" s="89">
        <f>'DATOS DE EQUIPOS'!H8</f>
        <v>5.5</v>
      </c>
      <c r="H137" s="89">
        <f>E136+158.9-10*LOG10('DATOS DE EQUIPOS'!B14)-G137</f>
        <v>32.13089987</v>
      </c>
      <c r="I137" s="89">
        <f>10^(H137/10)</f>
        <v>1633.390356</v>
      </c>
      <c r="J137" s="89">
        <f>HARMEAN(I6:I137)/29</f>
        <v>63.4007025</v>
      </c>
      <c r="K137" s="89">
        <f>10*LOG10(J137)</f>
        <v>18.0209407</v>
      </c>
      <c r="L137" s="102">
        <f>(2/3)^3*'DATOS DE EQUIPOS'!$R$8*'DATOS DE EQUIPOS'!$R$9^2*'NO LINEALIDADES'!E22*(10^(E137/10)*0.001)^2*LOG10(PI()^2*ABS('DATOS DE EQUIPOS'!$R$10*10^(-24))*'NO LINEALIDADES'!E22*'DATOS DE EQUIPOS'!$R$11^2*'DATOS DE EQUIPOS'!$R$12^2)*'DATOS DE EQUIPOS'!$R$13/(PI()*ABS('DATOS DE EQUIPOS'!$R$10*10^(-24))*'DATOS DE EQUIPOS'!$R$12^3)</f>
        <v>0.000199499768</v>
      </c>
      <c r="M137" s="89">
        <f>1/L137</f>
        <v>5012.537157</v>
      </c>
      <c r="N137" s="89">
        <f>10*LOG10(M137)</f>
        <v>37.00057605</v>
      </c>
      <c r="O137" s="89">
        <f>HARMEAN(M6:M137)/21</f>
        <v>134.3249524</v>
      </c>
      <c r="P137" s="89">
        <f>10*LOG(O137)</f>
        <v>21.28156695</v>
      </c>
    </row>
    <row r="138">
      <c r="A138" s="67" t="s">
        <v>249</v>
      </c>
      <c r="B138" s="27">
        <f>'TRAMO MAS COMPROMETIDO'!C21</f>
        <v>49</v>
      </c>
      <c r="C138" s="72">
        <v>-0.235</v>
      </c>
      <c r="D138" s="89">
        <f>B138*C138</f>
        <v>-11.515</v>
      </c>
      <c r="E138" s="89">
        <f t="shared" si="20"/>
        <v>-9.815</v>
      </c>
      <c r="F138" s="89"/>
      <c r="G138" s="89"/>
      <c r="H138" s="89"/>
      <c r="I138" s="89"/>
      <c r="J138" s="89"/>
      <c r="K138" s="89"/>
      <c r="L138" s="102"/>
      <c r="M138" s="89"/>
      <c r="N138" s="89"/>
      <c r="O138" s="89"/>
      <c r="P138" s="89"/>
    </row>
    <row r="139">
      <c r="A139" s="94"/>
      <c r="B139" s="94"/>
      <c r="C139" s="96"/>
      <c r="D139" s="96"/>
      <c r="E139" s="96"/>
      <c r="F139" s="96"/>
      <c r="G139" s="96"/>
      <c r="H139" s="96"/>
      <c r="I139" s="96"/>
      <c r="J139" s="96"/>
      <c r="K139" s="96"/>
      <c r="L139" s="104"/>
      <c r="M139" s="96"/>
      <c r="N139" s="96"/>
      <c r="O139" s="96"/>
      <c r="P139" s="96"/>
    </row>
    <row r="140">
      <c r="A140" s="113" t="str">
        <f>'TRAMO MAS COMPROMETIDO'!A22</f>
        <v>Sierra Grande</v>
      </c>
      <c r="B140" s="114"/>
      <c r="C140" s="115"/>
      <c r="D140" s="115"/>
      <c r="E140" s="115"/>
      <c r="F140" s="115"/>
      <c r="G140" s="115"/>
      <c r="H140" s="115"/>
      <c r="I140" s="115"/>
      <c r="J140" s="115"/>
      <c r="K140" s="115"/>
      <c r="L140" s="116"/>
      <c r="M140" s="115"/>
      <c r="N140" s="115"/>
      <c r="O140" s="115"/>
      <c r="P140" s="115"/>
    </row>
    <row r="141">
      <c r="A141" s="72" t="s">
        <v>251</v>
      </c>
      <c r="B141" s="94"/>
      <c r="C141" s="96"/>
      <c r="D141" s="72">
        <f>IF(D142 &gt; 0, IF(E138 &gt; -18.8, -18.8 - E138, 0), 0)</f>
        <v>-8.985</v>
      </c>
      <c r="E141" s="89">
        <f>D141+E138</f>
        <v>-18.8</v>
      </c>
      <c r="F141" s="96"/>
      <c r="G141" s="89"/>
      <c r="H141" s="89"/>
      <c r="I141" s="89"/>
      <c r="J141" s="89"/>
      <c r="K141" s="89"/>
      <c r="L141" s="102"/>
      <c r="M141" s="89"/>
      <c r="N141" s="89"/>
      <c r="O141" s="89"/>
      <c r="P141" s="89"/>
    </row>
    <row r="142">
      <c r="A142" s="72" t="s">
        <v>252</v>
      </c>
      <c r="B142" s="94"/>
      <c r="C142" s="96"/>
      <c r="D142" s="72">
        <v>22.0</v>
      </c>
      <c r="E142" s="89">
        <f t="shared" ref="E142:E147" si="21">D142+E141</f>
        <v>3.2</v>
      </c>
      <c r="F142" s="96"/>
      <c r="G142" s="89">
        <f>'DATOS DE EQUIPOS'!E10</f>
        <v>8</v>
      </c>
      <c r="H142" s="89">
        <f>E141+158.9-10*LOG10('DATOS DE EQUIPOS'!B14)-G142</f>
        <v>31.13089987</v>
      </c>
      <c r="I142" s="89">
        <f>10^(H142/10)</f>
        <v>1297.448078</v>
      </c>
      <c r="J142" s="89">
        <f>HARMEAN(I6:I142)/30</f>
        <v>60.44692164</v>
      </c>
      <c r="K142" s="89">
        <f>10*LOG10(J142)</f>
        <v>17.81374189</v>
      </c>
      <c r="L142" s="102"/>
      <c r="M142" s="89"/>
      <c r="N142" s="89"/>
      <c r="O142" s="89"/>
      <c r="P142" s="89"/>
    </row>
    <row r="143">
      <c r="A143" s="109" t="s">
        <v>253</v>
      </c>
      <c r="B143" s="117"/>
      <c r="C143" s="117"/>
      <c r="D143" s="118">
        <v>-5.0</v>
      </c>
      <c r="E143" s="110">
        <f t="shared" si="21"/>
        <v>-1.8</v>
      </c>
      <c r="F143" s="117"/>
      <c r="G143" s="119"/>
      <c r="H143" s="119"/>
      <c r="I143" s="119"/>
      <c r="J143" s="119"/>
      <c r="K143" s="89"/>
      <c r="L143" s="102"/>
      <c r="M143" s="89"/>
      <c r="N143" s="89"/>
      <c r="O143" s="89"/>
      <c r="P143" s="89"/>
    </row>
    <row r="144">
      <c r="A144" s="72" t="s">
        <v>246</v>
      </c>
      <c r="B144" s="94"/>
      <c r="C144" s="96"/>
      <c r="D144" s="72">
        <v>-5.0</v>
      </c>
      <c r="E144" s="89">
        <f t="shared" si="21"/>
        <v>-6.8</v>
      </c>
      <c r="F144" s="96"/>
      <c r="G144" s="89"/>
      <c r="H144" s="89"/>
      <c r="I144" s="89"/>
      <c r="J144" s="89"/>
      <c r="K144" s="89"/>
      <c r="L144" s="102"/>
      <c r="M144" s="89"/>
      <c r="N144" s="89"/>
      <c r="O144" s="89"/>
      <c r="P144" s="89"/>
    </row>
    <row r="145">
      <c r="A145" s="72" t="s">
        <v>247</v>
      </c>
      <c r="B145" s="94"/>
      <c r="C145" s="96"/>
      <c r="D145" s="72">
        <f>IF(E144 &gt; -14.8, -14.8 - E144, 0)</f>
        <v>-8</v>
      </c>
      <c r="E145" s="89">
        <f t="shared" si="21"/>
        <v>-14.8</v>
      </c>
      <c r="F145" s="96"/>
      <c r="G145" s="89"/>
      <c r="H145" s="89"/>
      <c r="I145" s="89"/>
      <c r="J145" s="89"/>
      <c r="K145" s="89"/>
      <c r="L145" s="102"/>
      <c r="M145" s="89"/>
      <c r="N145" s="89"/>
      <c r="O145" s="89"/>
      <c r="P145" s="89"/>
      <c r="R145" s="82"/>
    </row>
    <row r="146">
      <c r="A146" s="72" t="s">
        <v>254</v>
      </c>
      <c r="B146" s="94"/>
      <c r="C146" s="96"/>
      <c r="D146" s="72">
        <v>18.0</v>
      </c>
      <c r="E146" s="89">
        <f t="shared" si="21"/>
        <v>3.2</v>
      </c>
      <c r="F146" s="96"/>
      <c r="G146" s="89">
        <f>'DATOS DE EQUIPOS'!E14</f>
        <v>6.5</v>
      </c>
      <c r="H146" s="89">
        <f>E145+158.9-10*LOG10('DATOS DE EQUIPOS'!B14)-G146</f>
        <v>36.63089987</v>
      </c>
      <c r="I146" s="89">
        <f>10^(H146/10)</f>
        <v>4603.519499</v>
      </c>
      <c r="J146" s="89">
        <f>HARMEAN(I6:I146)/31</f>
        <v>59.6635047</v>
      </c>
      <c r="K146" s="89">
        <f>10*LOG10(J146)</f>
        <v>17.75708761</v>
      </c>
      <c r="L146" s="102">
        <f>(2/3)^3*'DATOS DE EQUIPOS'!$R$8*'DATOS DE EQUIPOS'!$R$9^2*'NO LINEALIDADES'!E23*(10^(E146/10)*0.001)^2*LOG10(PI()^2*ABS('DATOS DE EQUIPOS'!$R$10*10^(-24))*'NO LINEALIDADES'!E23*'DATOS DE EQUIPOS'!$R$11^2*'DATOS DE EQUIPOS'!$R$12^2)*'DATOS DE EQUIPOS'!$R$13/(PI()*ABS('DATOS DE EQUIPOS'!$R$10*10^(-24))*'DATOS DE EQUIPOS'!$R$12^3)</f>
        <v>0.0004325925599</v>
      </c>
      <c r="M146" s="89">
        <f>1/L146</f>
        <v>2311.644011</v>
      </c>
      <c r="N146" s="89">
        <f>10*LOG10(M146)</f>
        <v>33.63920954</v>
      </c>
      <c r="O146" s="89">
        <f>HARMEAN(M6:M146)/22</f>
        <v>126.9482468</v>
      </c>
      <c r="P146" s="89">
        <f>10*LOG(O146)</f>
        <v>21.03626708</v>
      </c>
      <c r="R146" s="82"/>
    </row>
    <row r="147">
      <c r="A147" s="67" t="s">
        <v>249</v>
      </c>
      <c r="B147" s="27">
        <f>'TRAMO MAS COMPROMETIDO'!C22</f>
        <v>110</v>
      </c>
      <c r="C147" s="72">
        <v>-0.235</v>
      </c>
      <c r="D147" s="89">
        <f>B147*C147</f>
        <v>-25.85</v>
      </c>
      <c r="E147" s="89">
        <f t="shared" si="21"/>
        <v>-22.65</v>
      </c>
      <c r="F147" s="89"/>
      <c r="G147" s="89"/>
      <c r="H147" s="89"/>
      <c r="I147" s="89"/>
      <c r="J147" s="89"/>
      <c r="K147" s="89"/>
      <c r="L147" s="102"/>
      <c r="M147" s="89"/>
      <c r="N147" s="89"/>
      <c r="O147" s="89"/>
      <c r="P147" s="89"/>
    </row>
    <row r="148">
      <c r="A148" s="94"/>
      <c r="B148" s="94"/>
      <c r="C148" s="96"/>
      <c r="D148" s="96"/>
      <c r="E148" s="96"/>
      <c r="F148" s="96"/>
      <c r="G148" s="96"/>
      <c r="H148" s="96"/>
      <c r="I148" s="96"/>
      <c r="J148" s="96"/>
      <c r="K148" s="96"/>
      <c r="L148" s="104"/>
      <c r="M148" s="96"/>
      <c r="N148" s="96"/>
      <c r="O148" s="96"/>
      <c r="P148" s="96"/>
    </row>
    <row r="149">
      <c r="A149" s="112" t="str">
        <f>'TRAMO MAS COMPROMETIDO'!A23</f>
        <v>Las Grutas</v>
      </c>
      <c r="B149" s="124"/>
      <c r="C149" s="107"/>
      <c r="D149" s="107"/>
      <c r="E149" s="107"/>
      <c r="F149" s="107"/>
      <c r="G149" s="107"/>
      <c r="H149" s="107"/>
      <c r="I149" s="107"/>
      <c r="J149" s="107"/>
      <c r="K149" s="107"/>
      <c r="L149" s="108"/>
      <c r="M149" s="107"/>
      <c r="N149" s="107"/>
      <c r="O149" s="107"/>
      <c r="P149" s="107"/>
    </row>
    <row r="150">
      <c r="A150" s="100" t="s">
        <v>247</v>
      </c>
      <c r="B150" s="94"/>
      <c r="C150" s="96"/>
      <c r="D150" s="72">
        <f>IF(D151 &gt; 0, IF(E147 &gt; -18.8, -18.8 - E147, 0), 0)</f>
        <v>0</v>
      </c>
      <c r="E150" s="89">
        <f>D150+E147</f>
        <v>-22.65</v>
      </c>
      <c r="F150" s="96"/>
      <c r="G150" s="89"/>
      <c r="H150" s="89"/>
      <c r="I150" s="89"/>
      <c r="J150" s="89"/>
      <c r="K150" s="89"/>
      <c r="L150" s="102"/>
      <c r="M150" s="89"/>
      <c r="N150" s="89"/>
      <c r="O150" s="89"/>
      <c r="P150" s="89"/>
    </row>
    <row r="151">
      <c r="A151" s="100" t="s">
        <v>156</v>
      </c>
      <c r="B151" s="94"/>
      <c r="C151" s="96"/>
      <c r="D151" s="72">
        <v>22.0</v>
      </c>
      <c r="E151" s="89">
        <f t="shared" ref="E151:E152" si="22">D151+E150</f>
        <v>-0.65</v>
      </c>
      <c r="F151" s="96"/>
      <c r="G151" s="89">
        <f>'DATOS DE EQUIPOS'!H8</f>
        <v>5.5</v>
      </c>
      <c r="H151" s="89">
        <f>E150+158.9-10*LOG10('DATOS DE EQUIPOS'!B14)-G151</f>
        <v>29.78089987</v>
      </c>
      <c r="I151" s="89">
        <f>10^(H151/10)</f>
        <v>950.8017819</v>
      </c>
      <c r="J151" s="89">
        <f>HARMEAN(I6:I151)/32</f>
        <v>56.14063871</v>
      </c>
      <c r="K151" s="89">
        <f>10*LOG10(J151)</f>
        <v>17.49277349</v>
      </c>
      <c r="L151" s="102">
        <f>(2/3)^3*'DATOS DE EQUIPOS'!$R$8*'DATOS DE EQUIPOS'!$R$9^2*'NO LINEALIDADES'!E24*(10^(E151/10)*0.001)^2*LOG10(PI()^2*ABS('DATOS DE EQUIPOS'!$R$10*10^(-24))*'NO LINEALIDADES'!E24*'DATOS DE EQUIPOS'!$R$11^2*'DATOS DE EQUIPOS'!$R$12^2)*'DATOS DE EQUIPOS'!$R$13/(PI()*ABS('DATOS DE EQUIPOS'!$R$10*10^(-24))*'DATOS DE EQUIPOS'!$R$12^3)</f>
        <v>0.00004276933995</v>
      </c>
      <c r="M151" s="89">
        <f>1/L151</f>
        <v>23381.23527</v>
      </c>
      <c r="N151" s="89">
        <f>10*LOG10(M151)</f>
        <v>43.68867452</v>
      </c>
      <c r="O151" s="89">
        <f>HARMEAN(M6:M151)/23</f>
        <v>126.2627044</v>
      </c>
      <c r="P151" s="89">
        <f>10*LOG(O151)</f>
        <v>21.01275087</v>
      </c>
    </row>
    <row r="152">
      <c r="A152" s="67" t="s">
        <v>249</v>
      </c>
      <c r="B152" s="27">
        <f>'TRAMO MAS COMPROMETIDO'!C23</f>
        <v>18</v>
      </c>
      <c r="C152" s="72">
        <v>-0.235</v>
      </c>
      <c r="D152" s="89">
        <f>B152*C152</f>
        <v>-4.23</v>
      </c>
      <c r="E152" s="89">
        <f t="shared" si="22"/>
        <v>-4.88</v>
      </c>
      <c r="F152" s="89"/>
      <c r="G152" s="89"/>
      <c r="H152" s="89"/>
      <c r="I152" s="89"/>
      <c r="J152" s="89"/>
      <c r="K152" s="89"/>
      <c r="L152" s="102"/>
      <c r="M152" s="89"/>
      <c r="N152" s="89"/>
      <c r="O152" s="89"/>
      <c r="P152" s="89"/>
    </row>
    <row r="153">
      <c r="A153" s="94"/>
      <c r="B153" s="94"/>
      <c r="C153" s="96"/>
      <c r="D153" s="96"/>
      <c r="E153" s="96"/>
      <c r="F153" s="96"/>
      <c r="G153" s="96"/>
      <c r="H153" s="96"/>
      <c r="I153" s="96"/>
      <c r="J153" s="96"/>
      <c r="K153" s="96"/>
      <c r="L153" s="104"/>
      <c r="M153" s="96"/>
      <c r="N153" s="96"/>
      <c r="O153" s="96"/>
      <c r="P153" s="96"/>
    </row>
    <row r="154">
      <c r="A154" s="113" t="str">
        <f>'TRAMO MAS COMPROMETIDO'!A24</f>
        <v>San Antonio Oeste</v>
      </c>
      <c r="B154" s="114"/>
      <c r="C154" s="115"/>
      <c r="D154" s="115"/>
      <c r="E154" s="115"/>
      <c r="F154" s="115"/>
      <c r="G154" s="115"/>
      <c r="H154" s="115"/>
      <c r="I154" s="115"/>
      <c r="J154" s="115"/>
      <c r="K154" s="115"/>
      <c r="L154" s="116"/>
      <c r="M154" s="115"/>
      <c r="N154" s="115"/>
      <c r="O154" s="115"/>
      <c r="P154" s="115"/>
    </row>
    <row r="155">
      <c r="A155" s="72" t="s">
        <v>251</v>
      </c>
      <c r="B155" s="94"/>
      <c r="C155" s="96"/>
      <c r="D155" s="72">
        <f>IF(D156 &gt; 0, IF(E152 &gt; -18.8, -18.8 - E152, 0), 0)</f>
        <v>-13.92</v>
      </c>
      <c r="E155" s="89">
        <f>D155+E152</f>
        <v>-18.8</v>
      </c>
      <c r="F155" s="96"/>
      <c r="G155" s="89"/>
      <c r="H155" s="89"/>
      <c r="I155" s="89"/>
      <c r="J155" s="89"/>
      <c r="K155" s="89"/>
      <c r="L155" s="102"/>
      <c r="M155" s="89"/>
      <c r="N155" s="89"/>
      <c r="O155" s="89"/>
      <c r="P155" s="89"/>
    </row>
    <row r="156">
      <c r="A156" s="72" t="s">
        <v>252</v>
      </c>
      <c r="B156" s="94"/>
      <c r="C156" s="96"/>
      <c r="D156" s="72">
        <v>22.0</v>
      </c>
      <c r="E156" s="89">
        <f t="shared" ref="E156:E161" si="23">D156+E155</f>
        <v>3.2</v>
      </c>
      <c r="F156" s="96"/>
      <c r="G156" s="89">
        <f>'DATOS DE EQUIPOS'!E10</f>
        <v>8</v>
      </c>
      <c r="H156" s="89">
        <f>E155+158.9-10*LOG10('DATOS DE EQUIPOS'!B14)-G156</f>
        <v>31.13089987</v>
      </c>
      <c r="I156" s="89">
        <f>10^(H156/10)</f>
        <v>1297.448078</v>
      </c>
      <c r="J156" s="89">
        <f>HARMEAN(I6:I156)/33</f>
        <v>53.81218304</v>
      </c>
      <c r="K156" s="89">
        <f>10*LOG10(J156)</f>
        <v>17.30880611</v>
      </c>
      <c r="L156" s="102"/>
      <c r="M156" s="89"/>
      <c r="N156" s="89"/>
      <c r="O156" s="89"/>
      <c r="P156" s="89"/>
    </row>
    <row r="157">
      <c r="A157" s="109" t="s">
        <v>253</v>
      </c>
      <c r="B157" s="117"/>
      <c r="C157" s="117"/>
      <c r="D157" s="118">
        <v>-5.0</v>
      </c>
      <c r="E157" s="110">
        <f t="shared" si="23"/>
        <v>-1.8</v>
      </c>
      <c r="F157" s="117"/>
      <c r="G157" s="119"/>
      <c r="H157" s="119"/>
      <c r="I157" s="119"/>
      <c r="J157" s="89"/>
      <c r="K157" s="89"/>
      <c r="L157" s="102"/>
      <c r="M157" s="89"/>
      <c r="N157" s="89"/>
      <c r="O157" s="89"/>
      <c r="P157" s="89"/>
    </row>
    <row r="158">
      <c r="A158" s="72" t="s">
        <v>246</v>
      </c>
      <c r="B158" s="94"/>
      <c r="C158" s="96"/>
      <c r="D158" s="72">
        <v>-5.0</v>
      </c>
      <c r="E158" s="89">
        <f t="shared" si="23"/>
        <v>-6.8</v>
      </c>
      <c r="F158" s="96"/>
      <c r="G158" s="89"/>
      <c r="H158" s="89"/>
      <c r="I158" s="89"/>
      <c r="J158" s="89"/>
      <c r="K158" s="89"/>
      <c r="L158" s="102"/>
      <c r="M158" s="89"/>
      <c r="N158" s="89"/>
      <c r="O158" s="89"/>
      <c r="P158" s="89"/>
    </row>
    <row r="159">
      <c r="A159" s="72" t="s">
        <v>247</v>
      </c>
      <c r="B159" s="94"/>
      <c r="C159" s="96"/>
      <c r="D159" s="72">
        <f>IF(E158 &gt; -14.8, -14.8 - E158, 0)</f>
        <v>-8</v>
      </c>
      <c r="E159" s="89">
        <f t="shared" si="23"/>
        <v>-14.8</v>
      </c>
      <c r="F159" s="96"/>
      <c r="G159" s="89"/>
      <c r="H159" s="89"/>
      <c r="I159" s="89"/>
      <c r="J159" s="89"/>
      <c r="K159" s="89"/>
      <c r="L159" s="102"/>
      <c r="M159" s="89"/>
      <c r="N159" s="89"/>
      <c r="O159" s="89"/>
      <c r="P159" s="89"/>
    </row>
    <row r="160">
      <c r="A160" s="72" t="s">
        <v>254</v>
      </c>
      <c r="B160" s="94"/>
      <c r="C160" s="96"/>
      <c r="D160" s="72">
        <v>18.0</v>
      </c>
      <c r="E160" s="89">
        <f t="shared" si="23"/>
        <v>3.2</v>
      </c>
      <c r="F160" s="96"/>
      <c r="G160" s="89">
        <f>'DATOS DE EQUIPOS'!E14</f>
        <v>6.5</v>
      </c>
      <c r="H160" s="89">
        <f>E159+158.9-10*LOG10('DATOS DE EQUIPOS'!B14)-G160</f>
        <v>36.63089987</v>
      </c>
      <c r="I160" s="89">
        <f>10^(H160/10)</f>
        <v>4603.519499</v>
      </c>
      <c r="J160" s="89">
        <f>HARMEAN(I6:I160)/34</f>
        <v>53.19042122</v>
      </c>
      <c r="K160" s="89">
        <f>10*LOG10(J160)</f>
        <v>17.2583343</v>
      </c>
      <c r="L160" s="102">
        <f>(2/3)^3*'DATOS DE EQUIPOS'!$R$8*'DATOS DE EQUIPOS'!$R$9^2*'NO LINEALIDADES'!E25*(10^(E160/10)*0.001)^2*LOG10(PI()^2*ABS('DATOS DE EQUIPOS'!$R$10*10^(-24))*'NO LINEALIDADES'!E25*'DATOS DE EQUIPOS'!$R$11^2*'DATOS DE EQUIPOS'!$R$12^2)*'DATOS DE EQUIPOS'!$R$13/(PI()*ABS('DATOS DE EQUIPOS'!$R$10*10^(-24))*'DATOS DE EQUIPOS'!$R$12^3)</f>
        <v>0.000424916999</v>
      </c>
      <c r="M160" s="89">
        <f>1/L160</f>
        <v>2353.400787</v>
      </c>
      <c r="N160" s="89">
        <f>10*LOG10(M160)</f>
        <v>33.71695894</v>
      </c>
      <c r="O160" s="89">
        <f>HARMEAN(M6:M160)/24</f>
        <v>119.8334971</v>
      </c>
      <c r="P160" s="89">
        <f>10*LOG(O160)</f>
        <v>20.78578234</v>
      </c>
    </row>
    <row r="161">
      <c r="A161" s="67" t="s">
        <v>249</v>
      </c>
      <c r="B161" s="27">
        <f>'TRAMO MAS COMPROMETIDO'!C24</f>
        <v>75</v>
      </c>
      <c r="C161" s="72">
        <v>-0.235</v>
      </c>
      <c r="D161" s="89">
        <f>B161*C161</f>
        <v>-17.625</v>
      </c>
      <c r="E161" s="89">
        <f t="shared" si="23"/>
        <v>-14.425</v>
      </c>
      <c r="F161" s="89"/>
      <c r="G161" s="89"/>
      <c r="H161" s="89"/>
      <c r="I161" s="89"/>
      <c r="J161" s="89"/>
      <c r="K161" s="89"/>
      <c r="L161" s="102"/>
      <c r="M161" s="89"/>
      <c r="N161" s="89"/>
      <c r="O161" s="89"/>
      <c r="P161" s="89"/>
    </row>
    <row r="162">
      <c r="A162" s="94"/>
      <c r="B162" s="94"/>
      <c r="C162" s="96"/>
      <c r="D162" s="96"/>
      <c r="E162" s="96"/>
      <c r="F162" s="96"/>
      <c r="G162" s="96"/>
      <c r="H162" s="96"/>
      <c r="I162" s="96"/>
      <c r="J162" s="96"/>
      <c r="K162" s="96"/>
      <c r="L162" s="104"/>
      <c r="M162" s="96"/>
      <c r="N162" s="96"/>
      <c r="O162" s="96"/>
      <c r="P162" s="96"/>
    </row>
    <row r="163">
      <c r="A163" s="112" t="str">
        <f>'TRAMO MAS COMPROMETIDO'!A25</f>
        <v>Nuevo Leon</v>
      </c>
      <c r="B163" s="106" t="s">
        <v>250</v>
      </c>
      <c r="C163" s="107"/>
      <c r="D163" s="107"/>
      <c r="E163" s="107"/>
      <c r="F163" s="107"/>
      <c r="G163" s="107"/>
      <c r="H163" s="107"/>
      <c r="I163" s="107"/>
      <c r="J163" s="107"/>
      <c r="K163" s="107"/>
      <c r="L163" s="108"/>
      <c r="M163" s="107"/>
      <c r="N163" s="107"/>
      <c r="O163" s="107"/>
      <c r="P163" s="107"/>
    </row>
    <row r="164">
      <c r="A164" s="100" t="s">
        <v>247</v>
      </c>
      <c r="B164" s="94"/>
      <c r="C164" s="96"/>
      <c r="D164" s="72">
        <f>IF(D165 &gt; 0, IF(E161 &gt; -18.8, -18.8 - E161, 0), 0)</f>
        <v>-4.375</v>
      </c>
      <c r="E164" s="89">
        <f>D164+E161</f>
        <v>-18.8</v>
      </c>
      <c r="F164" s="96"/>
      <c r="G164" s="89"/>
      <c r="H164" s="89"/>
      <c r="I164" s="89"/>
      <c r="J164" s="89"/>
      <c r="K164" s="89"/>
      <c r="L164" s="102"/>
      <c r="M164" s="89"/>
      <c r="N164" s="89"/>
      <c r="O164" s="89"/>
      <c r="P164" s="89"/>
    </row>
    <row r="165">
      <c r="A165" s="100" t="s">
        <v>156</v>
      </c>
      <c r="B165" s="94"/>
      <c r="C165" s="96"/>
      <c r="D165" s="72">
        <v>22.0</v>
      </c>
      <c r="E165" s="89">
        <f t="shared" ref="E165:E166" si="24">D165+E164</f>
        <v>3.2</v>
      </c>
      <c r="F165" s="96"/>
      <c r="G165" s="89">
        <f>'DATOS DE EQUIPOS'!H8</f>
        <v>5.5</v>
      </c>
      <c r="H165" s="89">
        <f>E164+158.9-10*LOG10('DATOS DE EQUIPOS'!B14)-G165</f>
        <v>33.63089987</v>
      </c>
      <c r="I165" s="89">
        <f>10^(H165/10)</f>
        <v>2307.225203</v>
      </c>
      <c r="J165" s="89">
        <f>HARMEAN(I6:I165)/35</f>
        <v>51.99180989</v>
      </c>
      <c r="K165" s="89">
        <f>10*LOG10(J165)</f>
        <v>17.15934936</v>
      </c>
      <c r="L165" s="102">
        <f>(2/3)^3*'DATOS DE EQUIPOS'!$R$8*'DATOS DE EQUIPOS'!$R$9^2*'NO LINEALIDADES'!E26*(10^(E165/10)*0.001)^2*LOG10(PI()^2*ABS('DATOS DE EQUIPOS'!$R$10*10^(-24))*'NO LINEALIDADES'!E26*'DATOS DE EQUIPOS'!$R$11^2*'DATOS DE EQUIPOS'!$R$12^2)*'DATOS DE EQUIPOS'!$R$13/(PI()*ABS('DATOS DE EQUIPOS'!$R$10*10^(-24))*'DATOS DE EQUIPOS'!$R$12^3)</f>
        <v>0.0004301166886</v>
      </c>
      <c r="M165" s="89">
        <f>1/L165</f>
        <v>2324.950476</v>
      </c>
      <c r="N165" s="89">
        <f>10*LOG10(M165)</f>
        <v>33.66413706</v>
      </c>
      <c r="O165" s="89">
        <f>HARMEAN(M6:M165)/25</f>
        <v>113.9597401</v>
      </c>
      <c r="P165" s="89">
        <f>10*LOG(O165)</f>
        <v>20.5675145</v>
      </c>
    </row>
    <row r="166">
      <c r="A166" s="67" t="s">
        <v>249</v>
      </c>
      <c r="B166" s="27">
        <f>'TRAMO MAS COMPROMETIDO'!C25</f>
        <v>91</v>
      </c>
      <c r="C166" s="72">
        <v>-0.235</v>
      </c>
      <c r="D166" s="89">
        <f>B166*C166</f>
        <v>-21.385</v>
      </c>
      <c r="E166" s="89">
        <f t="shared" si="24"/>
        <v>-18.185</v>
      </c>
      <c r="F166" s="89"/>
      <c r="G166" s="89"/>
      <c r="H166" s="89"/>
      <c r="I166" s="89"/>
      <c r="J166" s="89"/>
      <c r="K166" s="89"/>
      <c r="L166" s="102"/>
      <c r="M166" s="89"/>
      <c r="N166" s="89"/>
      <c r="O166" s="89"/>
      <c r="P166" s="89"/>
    </row>
    <row r="167">
      <c r="A167" s="94"/>
      <c r="B167" s="94"/>
      <c r="C167" s="96"/>
      <c r="D167" s="96"/>
      <c r="E167" s="96"/>
      <c r="F167" s="96"/>
      <c r="G167" s="96"/>
      <c r="H167" s="96"/>
      <c r="I167" s="96"/>
      <c r="J167" s="96"/>
      <c r="K167" s="96"/>
      <c r="L167" s="104"/>
      <c r="M167" s="96"/>
      <c r="N167" s="96"/>
      <c r="O167" s="96"/>
      <c r="P167" s="96"/>
    </row>
    <row r="168">
      <c r="A168" s="127" t="str">
        <f>'TRAMO MAS COMPROMETIDO'!A26</f>
        <v>San Javier</v>
      </c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6"/>
      <c r="M168" s="115"/>
      <c r="N168" s="115"/>
      <c r="O168" s="115"/>
      <c r="P168" s="115"/>
    </row>
    <row r="169">
      <c r="A169" s="72" t="s">
        <v>251</v>
      </c>
      <c r="B169" s="94"/>
      <c r="C169" s="96"/>
      <c r="D169" s="72">
        <f>IF(D170 &gt; 0, IF(E166 &gt; -18.8, -18.8 - E166, 0), 0)</f>
        <v>-0.615</v>
      </c>
      <c r="E169" s="89">
        <f>D169+E166</f>
        <v>-18.8</v>
      </c>
      <c r="F169" s="96"/>
      <c r="G169" s="89"/>
      <c r="H169" s="89"/>
      <c r="I169" s="89"/>
      <c r="J169" s="89"/>
      <c r="K169" s="89"/>
      <c r="L169" s="102"/>
      <c r="M169" s="89"/>
      <c r="N169" s="89"/>
      <c r="O169" s="89"/>
      <c r="P169" s="89"/>
    </row>
    <row r="170">
      <c r="A170" s="72" t="s">
        <v>252</v>
      </c>
      <c r="B170" s="94"/>
      <c r="C170" s="96"/>
      <c r="D170" s="72">
        <v>22.0</v>
      </c>
      <c r="E170" s="89">
        <f t="shared" ref="E170:E175" si="25">D170+E169</f>
        <v>3.2</v>
      </c>
      <c r="F170" s="96"/>
      <c r="G170" s="89">
        <f>'DATOS DE EQUIPOS'!E10</f>
        <v>8</v>
      </c>
      <c r="H170" s="89">
        <f>E169+158.9-10*LOG10('DATOS DE EQUIPOS'!B14)-G170</f>
        <v>31.13089987</v>
      </c>
      <c r="I170" s="89">
        <f>10^(H170/10)</f>
        <v>1297.448078</v>
      </c>
      <c r="J170" s="89">
        <f>HARMEAN(I6:I170)/36</f>
        <v>49.98864671</v>
      </c>
      <c r="K170" s="89">
        <f>10*LOG10(J170)</f>
        <v>16.9887138</v>
      </c>
      <c r="L170" s="102"/>
      <c r="M170" s="89"/>
      <c r="N170" s="89"/>
      <c r="O170" s="89"/>
      <c r="P170" s="89"/>
    </row>
    <row r="171">
      <c r="A171" s="109" t="s">
        <v>253</v>
      </c>
      <c r="B171" s="117"/>
      <c r="C171" s="117"/>
      <c r="D171" s="118">
        <v>-5.0</v>
      </c>
      <c r="E171" s="110">
        <f t="shared" si="25"/>
        <v>-1.8</v>
      </c>
      <c r="F171" s="117"/>
      <c r="G171" s="89"/>
      <c r="H171" s="89"/>
      <c r="I171" s="89"/>
      <c r="J171" s="89"/>
      <c r="K171" s="89"/>
      <c r="L171" s="102"/>
      <c r="M171" s="89"/>
      <c r="N171" s="89"/>
      <c r="O171" s="89"/>
      <c r="P171" s="89"/>
    </row>
    <row r="172">
      <c r="A172" s="72" t="s">
        <v>246</v>
      </c>
      <c r="B172" s="94"/>
      <c r="C172" s="96"/>
      <c r="D172" s="72">
        <v>-5.0</v>
      </c>
      <c r="E172" s="89">
        <f t="shared" si="25"/>
        <v>-6.8</v>
      </c>
      <c r="F172" s="96"/>
      <c r="G172" s="89"/>
      <c r="H172" s="89"/>
      <c r="I172" s="89"/>
      <c r="J172" s="89"/>
      <c r="K172" s="89"/>
      <c r="L172" s="102"/>
      <c r="M172" s="89"/>
      <c r="N172" s="89"/>
      <c r="O172" s="89"/>
      <c r="P172" s="89"/>
    </row>
    <row r="173">
      <c r="A173" s="72" t="s">
        <v>247</v>
      </c>
      <c r="B173" s="94"/>
      <c r="C173" s="96"/>
      <c r="D173" s="72">
        <f>IF(E172 &gt; -14.8, -14.8 - E172, 0)</f>
        <v>-8</v>
      </c>
      <c r="E173" s="89">
        <f t="shared" si="25"/>
        <v>-14.8</v>
      </c>
      <c r="F173" s="96"/>
      <c r="G173" s="89"/>
      <c r="H173" s="89"/>
      <c r="I173" s="89"/>
      <c r="J173" s="89"/>
      <c r="K173" s="89"/>
      <c r="L173" s="102"/>
      <c r="M173" s="89"/>
      <c r="N173" s="89"/>
      <c r="O173" s="89"/>
      <c r="P173" s="89"/>
    </row>
    <row r="174">
      <c r="A174" s="72" t="s">
        <v>254</v>
      </c>
      <c r="B174" s="94"/>
      <c r="C174" s="96"/>
      <c r="D174" s="72">
        <v>18.0</v>
      </c>
      <c r="E174" s="89">
        <f t="shared" si="25"/>
        <v>3.2</v>
      </c>
      <c r="F174" s="96"/>
      <c r="G174" s="89">
        <f>'DATOS DE EQUIPOS'!E14</f>
        <v>6.5</v>
      </c>
      <c r="H174" s="89">
        <f>E173+158.9-10*LOG10('DATOS DE EQUIPOS'!B14)-G174</f>
        <v>36.63089987</v>
      </c>
      <c r="I174" s="89">
        <f>10^(H174/10)</f>
        <v>4603.519499</v>
      </c>
      <c r="J174" s="89">
        <f>HARMEAN(I6:I174)/37</f>
        <v>49.45166155</v>
      </c>
      <c r="K174" s="89">
        <f>10*LOG10(J174)</f>
        <v>16.94180888</v>
      </c>
      <c r="L174" s="102">
        <f>(2/3)^3*'DATOS DE EQUIPOS'!$R$8*'DATOS DE EQUIPOS'!$R$9^2*'NO LINEALIDADES'!E27*(10^(E174/10)*0.001)^2*LOG10(PI()^2*ABS('DATOS DE EQUIPOS'!$R$10*10^(-24))*'NO LINEALIDADES'!E27*'DATOS DE EQUIPOS'!$R$11^2*'DATOS DE EQUIPOS'!$R$12^2)*'DATOS DE EQUIPOS'!$R$13/(PI()*ABS('DATOS DE EQUIPOS'!$R$10*10^(-24))*'DATOS DE EQUIPOS'!$R$12^3)</f>
        <v>0.0003256121252</v>
      </c>
      <c r="M174" s="89">
        <f>1/L174</f>
        <v>3071.138704</v>
      </c>
      <c r="N174" s="89">
        <f>10*LOG10(M174)</f>
        <v>34.87299431</v>
      </c>
      <c r="O174" s="89">
        <f>HARMEAN(M6:M174)/26</f>
        <v>109.8823709</v>
      </c>
      <c r="P174" s="89">
        <f>10*LOG(O174)</f>
        <v>20.40928021</v>
      </c>
    </row>
    <row r="175">
      <c r="A175" s="67" t="s">
        <v>249</v>
      </c>
      <c r="B175" s="27">
        <f>'TRAMO MAS COMPROMETIDO'!C26</f>
        <v>28</v>
      </c>
      <c r="C175" s="72">
        <v>-0.235</v>
      </c>
      <c r="D175" s="89">
        <f>B175*C175</f>
        <v>-6.58</v>
      </c>
      <c r="E175" s="89">
        <f t="shared" si="25"/>
        <v>-3.38</v>
      </c>
      <c r="F175" s="89"/>
      <c r="G175" s="89"/>
      <c r="H175" s="89"/>
      <c r="I175" s="89"/>
      <c r="J175" s="89"/>
      <c r="K175" s="89"/>
      <c r="L175" s="102"/>
      <c r="M175" s="89"/>
      <c r="N175" s="89"/>
      <c r="O175" s="89"/>
      <c r="P175" s="89"/>
    </row>
    <row r="176">
      <c r="A176" s="94"/>
      <c r="B176" s="94"/>
      <c r="C176" s="96"/>
      <c r="D176" s="96"/>
      <c r="E176" s="96"/>
      <c r="F176" s="96"/>
      <c r="G176" s="96"/>
      <c r="H176" s="96"/>
      <c r="I176" s="96"/>
      <c r="J176" s="96"/>
      <c r="K176" s="96"/>
      <c r="L176" s="104"/>
      <c r="M176" s="96"/>
      <c r="N176" s="96"/>
      <c r="O176" s="96"/>
      <c r="P176" s="96"/>
    </row>
    <row r="177">
      <c r="A177" s="113" t="str">
        <f>'TRAMO MAS COMPROMETIDO'!A27</f>
        <v>Viedma</v>
      </c>
      <c r="B177" s="114"/>
      <c r="C177" s="115"/>
      <c r="D177" s="115"/>
      <c r="E177" s="115"/>
      <c r="F177" s="115"/>
      <c r="G177" s="115"/>
      <c r="H177" s="115"/>
      <c r="I177" s="115"/>
      <c r="J177" s="115"/>
      <c r="K177" s="115"/>
      <c r="L177" s="116"/>
      <c r="M177" s="115"/>
      <c r="N177" s="115"/>
      <c r="O177" s="115"/>
      <c r="P177" s="115"/>
    </row>
    <row r="178">
      <c r="A178" s="72" t="s">
        <v>251</v>
      </c>
      <c r="B178" s="94"/>
      <c r="C178" s="96"/>
      <c r="D178" s="72">
        <f>IF(D179 &gt; 0, IF(E175 &gt; -18.8, -18.8 - E175, 0), 0)</f>
        <v>-15.42</v>
      </c>
      <c r="E178" s="89">
        <f>D178+E175</f>
        <v>-18.8</v>
      </c>
      <c r="F178" s="96"/>
      <c r="G178" s="89"/>
      <c r="H178" s="89"/>
      <c r="I178" s="89"/>
      <c r="J178" s="89"/>
      <c r="K178" s="89"/>
      <c r="L178" s="102"/>
      <c r="M178" s="89"/>
      <c r="N178" s="89"/>
      <c r="O178" s="89"/>
      <c r="P178" s="89"/>
    </row>
    <row r="179">
      <c r="A179" s="72" t="s">
        <v>252</v>
      </c>
      <c r="B179" s="94"/>
      <c r="C179" s="96"/>
      <c r="D179" s="72">
        <v>22.0</v>
      </c>
      <c r="E179" s="89">
        <f t="shared" ref="E179:E184" si="26">D179+E178</f>
        <v>3.2</v>
      </c>
      <c r="F179" s="96"/>
      <c r="G179" s="89">
        <f>'DATOS DE EQUIPOS'!E10</f>
        <v>8</v>
      </c>
      <c r="H179" s="89">
        <f>E178+158.9-10*LOG10('DATOS DE EQUIPOS'!B14)-G179</f>
        <v>31.13089987</v>
      </c>
      <c r="I179" s="89">
        <f>10^(H179/10)</f>
        <v>1297.448078</v>
      </c>
      <c r="J179" s="89">
        <f>HARMEAN(I6:I179)/38</f>
        <v>47.63603507</v>
      </c>
      <c r="K179" s="89">
        <f>10*LOG10(J179)</f>
        <v>16.77935606</v>
      </c>
      <c r="L179" s="102"/>
      <c r="M179" s="89"/>
      <c r="N179" s="89"/>
      <c r="O179" s="89"/>
      <c r="P179" s="89"/>
    </row>
    <row r="180">
      <c r="A180" s="109" t="s">
        <v>253</v>
      </c>
      <c r="B180" s="117"/>
      <c r="C180" s="117"/>
      <c r="D180" s="118">
        <v>-5.0</v>
      </c>
      <c r="E180" s="110">
        <f t="shared" si="26"/>
        <v>-1.8</v>
      </c>
      <c r="F180" s="117"/>
      <c r="G180" s="119"/>
      <c r="H180" s="119"/>
      <c r="I180" s="119"/>
      <c r="J180" s="89"/>
      <c r="K180" s="89"/>
      <c r="L180" s="102"/>
      <c r="M180" s="89"/>
      <c r="N180" s="89"/>
      <c r="O180" s="89"/>
      <c r="P180" s="89"/>
    </row>
    <row r="181">
      <c r="A181" s="72" t="s">
        <v>246</v>
      </c>
      <c r="B181" s="94"/>
      <c r="C181" s="96"/>
      <c r="D181" s="72">
        <v>-5.0</v>
      </c>
      <c r="E181" s="89">
        <f t="shared" si="26"/>
        <v>-6.8</v>
      </c>
      <c r="F181" s="96"/>
      <c r="G181" s="89"/>
      <c r="H181" s="89"/>
      <c r="I181" s="89"/>
      <c r="J181" s="89"/>
      <c r="K181" s="89"/>
      <c r="L181" s="102"/>
      <c r="M181" s="89"/>
      <c r="N181" s="89"/>
      <c r="O181" s="89"/>
      <c r="P181" s="89"/>
    </row>
    <row r="182">
      <c r="A182" s="72" t="s">
        <v>247</v>
      </c>
      <c r="B182" s="94"/>
      <c r="C182" s="96"/>
      <c r="D182" s="72">
        <f>IF(E181 &gt; -14.8, -14.8 - E181, 0)</f>
        <v>-8</v>
      </c>
      <c r="E182" s="89">
        <f t="shared" si="26"/>
        <v>-14.8</v>
      </c>
      <c r="F182" s="96"/>
      <c r="G182" s="89"/>
      <c r="H182" s="89"/>
      <c r="I182" s="89"/>
      <c r="J182" s="89"/>
      <c r="K182" s="89"/>
      <c r="L182" s="102"/>
      <c r="M182" s="89"/>
      <c r="N182" s="89"/>
      <c r="O182" s="89"/>
      <c r="P182" s="89"/>
    </row>
    <row r="183">
      <c r="A183" s="72" t="s">
        <v>254</v>
      </c>
      <c r="B183" s="94"/>
      <c r="C183" s="96"/>
      <c r="D183" s="72">
        <v>18.0</v>
      </c>
      <c r="E183" s="89">
        <f t="shared" si="26"/>
        <v>3.2</v>
      </c>
      <c r="F183" s="96"/>
      <c r="G183" s="89">
        <f>'DATOS DE EQUIPOS'!E14</f>
        <v>6.5</v>
      </c>
      <c r="H183" s="89">
        <f>E182+158.9-10*LOG10('DATOS DE EQUIPOS'!B14)-G183</f>
        <v>36.63089987</v>
      </c>
      <c r="I183" s="89">
        <f>10^(H183/10)</f>
        <v>4603.519499</v>
      </c>
      <c r="J183" s="89">
        <f>HARMEAN(I6:I183)/39</f>
        <v>47.14815807</v>
      </c>
      <c r="K183" s="89">
        <f>10*LOG10(J183)</f>
        <v>16.73464731</v>
      </c>
      <c r="L183" s="102">
        <f>(2/3)^3*'DATOS DE EQUIPOS'!$R$8*'DATOS DE EQUIPOS'!$R$9^2*'NO LINEALIDADES'!E28*(10^(E183/10)*0.001)^2*LOG10(PI()^2*ABS('DATOS DE EQUIPOS'!$R$10*10^(-24))*'NO LINEALIDADES'!E28*'DATOS DE EQUIPOS'!$R$11^2*'DATOS DE EQUIPOS'!$R$12^2)*'DATOS DE EQUIPOS'!$R$13/(PI()*ABS('DATOS DE EQUIPOS'!$R$10*10^(-24))*'DATOS DE EQUIPOS'!$R$12^3)</f>
        <v>0.0004303179441</v>
      </c>
      <c r="M183" s="89">
        <f>1/L183</f>
        <v>2323.86312</v>
      </c>
      <c r="N183" s="89">
        <f>10*LOG10(M183)</f>
        <v>33.66210544</v>
      </c>
      <c r="O183" s="89">
        <f>HARMEAN(M6:M183)/27</f>
        <v>104.9212377</v>
      </c>
      <c r="P183" s="89">
        <f>10*LOG(O183)</f>
        <v>20.20863405</v>
      </c>
    </row>
    <row r="184">
      <c r="A184" s="67" t="s">
        <v>249</v>
      </c>
      <c r="B184" s="27">
        <f>'TRAMO MAS COMPROMETIDO'!C27</f>
        <v>92</v>
      </c>
      <c r="C184" s="72">
        <v>-0.235</v>
      </c>
      <c r="D184" s="89">
        <f>B184*C184</f>
        <v>-21.62</v>
      </c>
      <c r="E184" s="89">
        <f t="shared" si="26"/>
        <v>-18.42</v>
      </c>
      <c r="F184" s="89"/>
      <c r="G184" s="89"/>
      <c r="H184" s="89"/>
      <c r="I184" s="89"/>
      <c r="J184" s="89"/>
      <c r="K184" s="89"/>
      <c r="L184" s="102"/>
      <c r="M184" s="89"/>
      <c r="N184" s="89"/>
      <c r="O184" s="89"/>
      <c r="P184" s="89"/>
    </row>
    <row r="185">
      <c r="A185" s="94"/>
      <c r="B185" s="94"/>
      <c r="C185" s="96"/>
      <c r="D185" s="96"/>
      <c r="E185" s="96"/>
      <c r="F185" s="96"/>
      <c r="G185" s="96"/>
      <c r="H185" s="96"/>
      <c r="I185" s="96"/>
      <c r="J185" s="96"/>
      <c r="K185" s="96"/>
      <c r="L185" s="104"/>
      <c r="M185" s="96"/>
      <c r="N185" s="96"/>
      <c r="O185" s="96"/>
      <c r="P185" s="96"/>
    </row>
    <row r="186">
      <c r="A186" s="112" t="str">
        <f>'TRAMO MAS COMPROMETIDO'!A28</f>
        <v>Stroeder</v>
      </c>
      <c r="B186" s="124"/>
      <c r="C186" s="107"/>
      <c r="D186" s="107"/>
      <c r="E186" s="107"/>
      <c r="F186" s="107"/>
      <c r="G186" s="107"/>
      <c r="H186" s="107"/>
      <c r="I186" s="107"/>
      <c r="J186" s="107"/>
      <c r="K186" s="107"/>
      <c r="L186" s="108"/>
      <c r="M186" s="107"/>
      <c r="N186" s="107"/>
      <c r="O186" s="107"/>
      <c r="P186" s="107"/>
    </row>
    <row r="187">
      <c r="A187" s="100" t="s">
        <v>247</v>
      </c>
      <c r="B187" s="94"/>
      <c r="C187" s="96"/>
      <c r="D187" s="72">
        <f>IF(D188 &gt; 0, IF(E184 &gt; -18.8, -18.8 - E184, 0), 0)</f>
        <v>-0.38</v>
      </c>
      <c r="E187" s="89">
        <f>D187+E184</f>
        <v>-18.8</v>
      </c>
      <c r="F187" s="96"/>
      <c r="G187" s="89"/>
      <c r="H187" s="89"/>
      <c r="I187" s="89"/>
      <c r="J187" s="89"/>
      <c r="K187" s="89"/>
      <c r="L187" s="102"/>
      <c r="M187" s="89"/>
      <c r="N187" s="89"/>
      <c r="O187" s="89"/>
      <c r="P187" s="89"/>
    </row>
    <row r="188">
      <c r="A188" s="100" t="s">
        <v>156</v>
      </c>
      <c r="B188" s="94"/>
      <c r="C188" s="96"/>
      <c r="D188" s="72">
        <v>22.0</v>
      </c>
      <c r="E188" s="89">
        <f t="shared" ref="E188:E189" si="27">D188+E187</f>
        <v>3.2</v>
      </c>
      <c r="F188" s="96"/>
      <c r="G188" s="89">
        <f>'DATOS DE EQUIPOS'!H8</f>
        <v>5.5</v>
      </c>
      <c r="H188" s="89">
        <f>E187+158.9-10*LOG10('DATOS DE EQUIPOS'!B14)-G188</f>
        <v>33.63089987</v>
      </c>
      <c r="I188" s="89">
        <f>10^(H188/10)</f>
        <v>2307.225203</v>
      </c>
      <c r="J188" s="89">
        <f>HARMEAN(I6:I188)/40</f>
        <v>46.20397952</v>
      </c>
      <c r="K188" s="89">
        <f>10*LOG10(J188)</f>
        <v>16.64679383</v>
      </c>
      <c r="L188" s="102">
        <f>(2/3)^3*'DATOS DE EQUIPOS'!$R$8*'DATOS DE EQUIPOS'!$R$9^2*'NO LINEALIDADES'!E29*(10^(E188/10)*0.001)^2*LOG10(PI()^2*ABS('DATOS DE EQUIPOS'!$R$10*10^(-24))*'NO LINEALIDADES'!E29*'DATOS DE EQUIPOS'!$R$11^2*'DATOS DE EQUIPOS'!$R$12^2)*'DATOS DE EQUIPOS'!$R$13/(PI()*ABS('DATOS DE EQUIPOS'!$R$10*10^(-24))*'DATOS DE EQUIPOS'!$R$12^3)</f>
        <v>0.000428366089</v>
      </c>
      <c r="M188" s="89">
        <f>1/L188</f>
        <v>2334.451829</v>
      </c>
      <c r="N188" s="89">
        <f>10*LOG10(M188)</f>
        <v>33.68184917</v>
      </c>
      <c r="O188" s="89">
        <f>HARMEAN(M6:M188)/28</f>
        <v>100.4084118</v>
      </c>
      <c r="P188" s="89">
        <f>10*LOG(O188)</f>
        <v>20.01770098</v>
      </c>
    </row>
    <row r="189">
      <c r="A189" s="67" t="s">
        <v>249</v>
      </c>
      <c r="B189" s="27">
        <f>'TRAMO MAS COMPROMETIDO'!C28</f>
        <v>84</v>
      </c>
      <c r="C189" s="72">
        <v>-0.235</v>
      </c>
      <c r="D189" s="89">
        <f>C189*B189</f>
        <v>-19.74</v>
      </c>
      <c r="E189" s="89">
        <f t="shared" si="27"/>
        <v>-16.54</v>
      </c>
      <c r="F189" s="89"/>
      <c r="G189" s="89"/>
      <c r="H189" s="89"/>
      <c r="I189" s="89"/>
      <c r="J189" s="89"/>
      <c r="K189" s="89"/>
      <c r="L189" s="102"/>
      <c r="M189" s="89"/>
      <c r="N189" s="89"/>
      <c r="O189" s="89"/>
      <c r="P189" s="89"/>
    </row>
    <row r="190">
      <c r="A190" s="94"/>
      <c r="B190" s="95"/>
      <c r="C190" s="96"/>
      <c r="D190" s="96"/>
      <c r="E190" s="96"/>
      <c r="F190" s="96"/>
      <c r="G190" s="96"/>
      <c r="H190" s="96"/>
      <c r="I190" s="96"/>
      <c r="J190" s="96"/>
      <c r="K190" s="96"/>
      <c r="L190" s="104"/>
      <c r="M190" s="96"/>
      <c r="N190" s="96"/>
      <c r="O190" s="96"/>
      <c r="P190" s="96"/>
    </row>
    <row r="191">
      <c r="A191" s="112" t="str">
        <f>'TRAMO MAS COMPROMETIDO'!A29</f>
        <v>Pedro Luro</v>
      </c>
      <c r="B191" s="124"/>
      <c r="C191" s="107"/>
      <c r="D191" s="107"/>
      <c r="E191" s="107"/>
      <c r="F191" s="107"/>
      <c r="G191" s="107"/>
      <c r="H191" s="107"/>
      <c r="I191" s="107"/>
      <c r="J191" s="107"/>
      <c r="K191" s="107"/>
      <c r="L191" s="108"/>
      <c r="M191" s="107"/>
      <c r="N191" s="107"/>
      <c r="O191" s="107"/>
      <c r="P191" s="107"/>
    </row>
    <row r="192">
      <c r="A192" s="100" t="s">
        <v>247</v>
      </c>
      <c r="B192" s="94"/>
      <c r="C192" s="96"/>
      <c r="D192" s="72">
        <f>IF(D193 &gt; 0, IF(E189 &gt; -18.8, -18.8 - E189, 0), 0)</f>
        <v>-2.26</v>
      </c>
      <c r="E192" s="89">
        <f>D192+E189</f>
        <v>-18.8</v>
      </c>
      <c r="F192" s="96"/>
      <c r="G192" s="89"/>
      <c r="H192" s="89"/>
      <c r="I192" s="89"/>
      <c r="J192" s="89"/>
      <c r="K192" s="89"/>
      <c r="L192" s="102"/>
      <c r="M192" s="126"/>
      <c r="N192" s="89"/>
      <c r="O192" s="89"/>
      <c r="P192" s="89"/>
    </row>
    <row r="193">
      <c r="A193" s="100" t="s">
        <v>156</v>
      </c>
      <c r="B193" s="94"/>
      <c r="C193" s="96"/>
      <c r="D193" s="72">
        <v>22.0</v>
      </c>
      <c r="E193" s="89">
        <f t="shared" ref="E193:E194" si="28">D193+E192</f>
        <v>3.2</v>
      </c>
      <c r="F193" s="96"/>
      <c r="G193" s="89">
        <f>'DATOS DE EQUIPOS'!H8</f>
        <v>5.5</v>
      </c>
      <c r="H193" s="89">
        <f>E192+158.9-10*LOG10('DATOS DE EQUIPOS'!B14)-G193</f>
        <v>33.63089987</v>
      </c>
      <c r="I193" s="89">
        <f>10^(H193/10)</f>
        <v>2307.225203</v>
      </c>
      <c r="J193" s="89">
        <f>HARMEAN(I6:I193)/41</f>
        <v>45.29687438</v>
      </c>
      <c r="K193" s="89">
        <f>10*LOG10(J193)</f>
        <v>16.56068235</v>
      </c>
      <c r="L193" s="102">
        <f>(2/3)^3*'DATOS DE EQUIPOS'!$R$8*'DATOS DE EQUIPOS'!$R$9^2*'NO LINEALIDADES'!E30*(10^(E193/10)*0.001)^2*LOG10(PI()^2*ABS('DATOS DE EQUIPOS'!$R$10*10^(-24))*'NO LINEALIDADES'!E30*'DATOS DE EQUIPOS'!$R$11^2*'DATOS DE EQUIPOS'!$R$12^2)*'DATOS DE EQUIPOS'!$R$13/(PI()*ABS('DATOS DE EQUIPOS'!$R$10*10^(-24))*'DATOS DE EQUIPOS'!$R$12^3)</f>
        <v>0.0004063954037</v>
      </c>
      <c r="M193" s="89">
        <f>1/L193</f>
        <v>2460.657751</v>
      </c>
      <c r="N193" s="89">
        <f>10*LOG10(M193)</f>
        <v>33.91051213</v>
      </c>
      <c r="O193" s="89">
        <f>HARMEAN(M6:M193)/29</f>
        <v>96.4718289</v>
      </c>
      <c r="P193" s="89">
        <f>10*LOG(O193)</f>
        <v>19.84400512</v>
      </c>
    </row>
    <row r="194">
      <c r="A194" s="67" t="s">
        <v>249</v>
      </c>
      <c r="B194" s="27">
        <f>'TRAMO MAS COMPROMETIDO'!C29</f>
        <v>54</v>
      </c>
      <c r="C194" s="72">
        <v>-0.235</v>
      </c>
      <c r="D194" s="89">
        <f>C194*B194</f>
        <v>-12.69</v>
      </c>
      <c r="E194" s="89">
        <f t="shared" si="28"/>
        <v>-9.49</v>
      </c>
      <c r="F194" s="89"/>
      <c r="G194" s="89"/>
      <c r="H194" s="89"/>
      <c r="I194" s="89"/>
      <c r="J194" s="89"/>
      <c r="K194" s="89"/>
      <c r="L194" s="102"/>
      <c r="M194" s="89"/>
      <c r="N194" s="89"/>
      <c r="O194" s="89"/>
      <c r="P194" s="89"/>
    </row>
    <row r="195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104"/>
      <c r="M195" s="96"/>
      <c r="N195" s="96"/>
      <c r="O195" s="96"/>
      <c r="P195" s="96"/>
    </row>
    <row r="196">
      <c r="A196" s="112" t="str">
        <f>'TRAMO MAS COMPROMETIDO'!A30</f>
        <v>Teniente Origone</v>
      </c>
      <c r="B196" s="124"/>
      <c r="C196" s="107"/>
      <c r="D196" s="107"/>
      <c r="E196" s="107"/>
      <c r="F196" s="107"/>
      <c r="G196" s="107"/>
      <c r="H196" s="107"/>
      <c r="I196" s="107"/>
      <c r="J196" s="107"/>
      <c r="K196" s="107"/>
      <c r="L196" s="108"/>
      <c r="M196" s="107"/>
      <c r="N196" s="107"/>
      <c r="O196" s="107"/>
      <c r="P196" s="107"/>
    </row>
    <row r="197">
      <c r="A197" s="100" t="s">
        <v>247</v>
      </c>
      <c r="B197" s="94"/>
      <c r="C197" s="96"/>
      <c r="D197" s="72">
        <f>IF(D198 &gt; 0, IF(E194 &gt; -18.8, -18.8 - E194, 0), 0)</f>
        <v>-9.31</v>
      </c>
      <c r="E197" s="89">
        <f>D197+E194</f>
        <v>-18.8</v>
      </c>
      <c r="F197" s="96"/>
      <c r="G197" s="89"/>
      <c r="H197" s="89"/>
      <c r="I197" s="89"/>
      <c r="J197" s="89"/>
      <c r="K197" s="89"/>
      <c r="L197" s="102"/>
      <c r="M197" s="89"/>
      <c r="N197" s="89"/>
      <c r="O197" s="89"/>
      <c r="P197" s="89"/>
    </row>
    <row r="198">
      <c r="A198" s="100" t="s">
        <v>156</v>
      </c>
      <c r="B198" s="94"/>
      <c r="C198" s="96"/>
      <c r="D198" s="72">
        <v>22.0</v>
      </c>
      <c r="E198" s="89">
        <f t="shared" ref="E198:E199" si="29">D198+E197</f>
        <v>3.2</v>
      </c>
      <c r="F198" s="96"/>
      <c r="G198" s="89">
        <f>'DATOS DE EQUIPOS'!H8</f>
        <v>5.5</v>
      </c>
      <c r="H198" s="89">
        <f>E197+158.9-10*LOG10('DATOS DE EQUIPOS'!B14)-G198</f>
        <v>33.63089987</v>
      </c>
      <c r="I198" s="89">
        <f>10^(H198/10)</f>
        <v>2307.225203</v>
      </c>
      <c r="J198" s="89">
        <f>HARMEAN(I6:I198)/42</f>
        <v>44.42470113</v>
      </c>
      <c r="K198" s="89">
        <f>10*LOG10(J198)</f>
        <v>16.47624515</v>
      </c>
      <c r="L198" s="102">
        <f>(2/3)^3*'DATOS DE EQUIPOS'!$R$8*'DATOS DE EQUIPOS'!$R$9^2*'NO LINEALIDADES'!E31*(10^(E198/10)*0.001)^2*LOG10(PI()^2*ABS('DATOS DE EQUIPOS'!$R$10*10^(-24))*'NO LINEALIDADES'!E31*'DATOS DE EQUIPOS'!$R$11^2*'DATOS DE EQUIPOS'!$R$12^2)*'DATOS DE EQUIPOS'!$R$13/(PI()*ABS('DATOS DE EQUIPOS'!$R$10*10^(-24))*'DATOS DE EQUIPOS'!$R$12^3)</f>
        <v>0.000424422435</v>
      </c>
      <c r="M198" s="89">
        <f>1/L198</f>
        <v>2356.14312</v>
      </c>
      <c r="N198" s="89">
        <f>10*LOG10(M198)</f>
        <v>33.72201667</v>
      </c>
      <c r="O198" s="89">
        <f>HARMEAN(M6:M198)/30</f>
        <v>92.67717953</v>
      </c>
      <c r="P198" s="89">
        <f>10*LOG(O198)</f>
        <v>19.66972808</v>
      </c>
      <c r="R198" s="128" t="s">
        <v>54</v>
      </c>
      <c r="S198" s="129">
        <f>10*LOG(1/((1/J203)+(1/O198)))</f>
        <v>14.67616572</v>
      </c>
    </row>
    <row r="199">
      <c r="A199" s="67" t="s">
        <v>249</v>
      </c>
      <c r="B199" s="27">
        <f>'TRAMO MAS COMPROMETIDO'!C30</f>
        <v>74</v>
      </c>
      <c r="C199" s="72">
        <v>-0.235</v>
      </c>
      <c r="D199" s="89">
        <f>C199*B199</f>
        <v>-17.39</v>
      </c>
      <c r="E199" s="89">
        <f t="shared" si="29"/>
        <v>-14.19</v>
      </c>
      <c r="F199" s="89"/>
      <c r="G199" s="89"/>
      <c r="H199" s="89"/>
      <c r="I199" s="89"/>
      <c r="J199" s="89"/>
      <c r="K199" s="89"/>
      <c r="L199" s="102"/>
      <c r="M199" s="89"/>
      <c r="N199" s="89"/>
      <c r="O199" s="89"/>
      <c r="P199" s="89"/>
    </row>
    <row r="200">
      <c r="A200" s="94"/>
      <c r="B200" s="94"/>
      <c r="C200" s="96"/>
      <c r="D200" s="96"/>
      <c r="E200" s="96"/>
      <c r="F200" s="96"/>
      <c r="G200" s="96"/>
      <c r="H200" s="96"/>
      <c r="I200" s="96"/>
      <c r="J200" s="96"/>
      <c r="K200" s="96"/>
      <c r="L200" s="104"/>
      <c r="M200" s="96"/>
      <c r="N200" s="96"/>
      <c r="O200" s="96"/>
      <c r="P200" s="96"/>
      <c r="R200" s="130" t="s">
        <v>257</v>
      </c>
      <c r="S200" s="43"/>
    </row>
    <row r="201">
      <c r="A201" s="131" t="str">
        <f>'TRAMO MAS COMPROMETIDO'!B30</f>
        <v>Bahia Blanca</v>
      </c>
      <c r="B201" s="98" t="s">
        <v>258</v>
      </c>
      <c r="C201" s="99"/>
      <c r="D201" s="99"/>
      <c r="E201" s="99"/>
      <c r="F201" s="99"/>
      <c r="G201" s="99"/>
      <c r="H201" s="99"/>
      <c r="I201" s="99"/>
      <c r="J201" s="99"/>
      <c r="K201" s="99"/>
      <c r="L201" s="132"/>
      <c r="M201" s="99"/>
      <c r="N201" s="99"/>
      <c r="O201" s="99"/>
      <c r="P201" s="99"/>
    </row>
    <row r="202">
      <c r="A202" s="133" t="s">
        <v>247</v>
      </c>
      <c r="B202" s="94"/>
      <c r="C202" s="96"/>
      <c r="D202" s="72">
        <f>IF(D203 &gt; 0, IF(E199 &gt; -18.8, -18.8 - E199, 0), 0)</f>
        <v>-4.61</v>
      </c>
      <c r="E202" s="89">
        <f>D202+E199</f>
        <v>-18.8</v>
      </c>
      <c r="F202" s="96"/>
      <c r="G202" s="89"/>
      <c r="H202" s="89"/>
      <c r="I202" s="89"/>
      <c r="J202" s="89"/>
      <c r="K202" s="89"/>
      <c r="L202" s="102"/>
      <c r="M202" s="89"/>
      <c r="N202" s="89"/>
      <c r="O202" s="89"/>
      <c r="P202" s="89"/>
    </row>
    <row r="203">
      <c r="A203" s="133" t="s">
        <v>256</v>
      </c>
      <c r="B203" s="94"/>
      <c r="C203" s="96"/>
      <c r="D203" s="72">
        <v>22.0</v>
      </c>
      <c r="E203" s="89">
        <f t="shared" ref="E203:E205" si="30">D203+E202</f>
        <v>3.2</v>
      </c>
      <c r="F203" s="96"/>
      <c r="G203" s="72">
        <v>8.0</v>
      </c>
      <c r="H203" s="89">
        <f>E202+158.9-10*LOG10('DATOS DE EQUIPOS'!B14)-G203</f>
        <v>31.13089987</v>
      </c>
      <c r="I203" s="72">
        <f>10^(H203/10)</f>
        <v>1297.448078</v>
      </c>
      <c r="J203" s="89">
        <f>HARMEAN(I6:I203)/43</f>
        <v>42.95395509</v>
      </c>
      <c r="K203" s="89">
        <f>10*LOG10(J203)</f>
        <v>16.33003159</v>
      </c>
      <c r="L203" s="102"/>
      <c r="M203" s="89"/>
      <c r="N203" s="89"/>
      <c r="O203" s="89"/>
      <c r="P203" s="89"/>
    </row>
    <row r="204">
      <c r="A204" s="133" t="s">
        <v>253</v>
      </c>
      <c r="B204" s="117"/>
      <c r="C204" s="117"/>
      <c r="D204" s="118">
        <v>-5.0</v>
      </c>
      <c r="E204" s="110">
        <f t="shared" si="30"/>
        <v>-1.8</v>
      </c>
      <c r="F204" s="96"/>
      <c r="G204" s="89"/>
      <c r="H204" s="89"/>
      <c r="I204" s="89"/>
      <c r="J204" s="89"/>
      <c r="K204" s="89"/>
      <c r="L204" s="89"/>
      <c r="M204" s="89"/>
      <c r="N204" s="89"/>
      <c r="O204" s="89"/>
      <c r="P204" s="89"/>
    </row>
    <row r="205">
      <c r="A205" s="134" t="s">
        <v>245</v>
      </c>
      <c r="B205" s="94"/>
      <c r="C205" s="96"/>
      <c r="D205" s="72">
        <v>-6.0</v>
      </c>
      <c r="E205" s="89">
        <f t="shared" si="30"/>
        <v>-7.8</v>
      </c>
      <c r="F205" s="96"/>
      <c r="G205" s="89"/>
      <c r="H205" s="89"/>
      <c r="I205" s="89"/>
      <c r="J205" s="89"/>
      <c r="K205" s="89"/>
      <c r="L205" s="89"/>
      <c r="M205" s="89"/>
      <c r="N205" s="89"/>
      <c r="O205" s="89"/>
      <c r="P205" s="89"/>
    </row>
    <row r="206">
      <c r="A206" s="135"/>
      <c r="B206" s="136" t="s">
        <v>259</v>
      </c>
      <c r="C206" s="85"/>
      <c r="D206" s="43"/>
      <c r="E206" s="137" t="s">
        <v>260</v>
      </c>
      <c r="F206" s="89"/>
      <c r="G206" s="138" t="s">
        <v>261</v>
      </c>
      <c r="H206" s="85"/>
      <c r="I206" s="85"/>
      <c r="J206" s="43"/>
      <c r="K206" s="137" t="s">
        <v>262</v>
      </c>
      <c r="L206" s="138" t="s">
        <v>263</v>
      </c>
      <c r="M206" s="85"/>
      <c r="N206" s="85"/>
      <c r="O206" s="43"/>
      <c r="P206" s="137" t="s">
        <v>264</v>
      </c>
    </row>
    <row r="207">
      <c r="A207" s="67"/>
      <c r="B207" s="103"/>
      <c r="C207" s="72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</row>
    <row r="208">
      <c r="A208" s="80"/>
      <c r="B208" s="37"/>
    </row>
    <row r="209">
      <c r="A209" s="139" t="s">
        <v>0</v>
      </c>
      <c r="B209" s="37"/>
    </row>
    <row r="210">
      <c r="A210" s="140" t="s">
        <v>155</v>
      </c>
      <c r="B210" s="37"/>
    </row>
    <row r="211">
      <c r="A211" s="141" t="s">
        <v>156</v>
      </c>
      <c r="B211" s="37"/>
    </row>
    <row r="212">
      <c r="A212" s="82"/>
      <c r="B212" s="82"/>
    </row>
    <row r="213">
      <c r="A213" s="142"/>
      <c r="B213" s="142"/>
    </row>
    <row r="214">
      <c r="A214" s="80"/>
      <c r="B214" s="143"/>
      <c r="L214" s="82"/>
    </row>
    <row r="215">
      <c r="A215" s="80"/>
      <c r="B215" s="37"/>
    </row>
    <row r="216">
      <c r="A216" s="80"/>
      <c r="B216" s="37"/>
    </row>
    <row r="217">
      <c r="A217" s="80"/>
      <c r="B217" s="37"/>
    </row>
    <row r="218">
      <c r="A218" s="80"/>
      <c r="B218" s="37"/>
    </row>
    <row r="219">
      <c r="A219" s="80"/>
      <c r="B219" s="37"/>
    </row>
    <row r="220">
      <c r="A220" s="80"/>
      <c r="B220" s="37"/>
    </row>
    <row r="221">
      <c r="A221" s="82"/>
      <c r="B221" s="82"/>
    </row>
    <row r="222">
      <c r="A222" s="142"/>
      <c r="B222" s="142"/>
    </row>
    <row r="223">
      <c r="A223" s="80"/>
      <c r="B223" s="143"/>
    </row>
    <row r="224">
      <c r="A224" s="80"/>
      <c r="B224" s="37"/>
    </row>
    <row r="225">
      <c r="A225" s="80"/>
      <c r="B225" s="37"/>
    </row>
    <row r="226">
      <c r="A226" s="80"/>
      <c r="B226" s="37"/>
    </row>
    <row r="227">
      <c r="A227" s="80"/>
      <c r="B227" s="37"/>
    </row>
    <row r="228">
      <c r="A228" s="80"/>
      <c r="B228" s="37"/>
    </row>
    <row r="229">
      <c r="A229" s="80"/>
      <c r="B229" s="37"/>
    </row>
    <row r="230">
      <c r="A230" s="82"/>
      <c r="B230" s="82"/>
    </row>
    <row r="231">
      <c r="A231" s="142"/>
      <c r="B231" s="142"/>
    </row>
    <row r="232">
      <c r="A232" s="80"/>
      <c r="B232" s="143"/>
    </row>
    <row r="233">
      <c r="A233" s="80"/>
      <c r="B233" s="37"/>
    </row>
    <row r="234">
      <c r="A234" s="80"/>
      <c r="B234" s="37"/>
    </row>
    <row r="235">
      <c r="A235" s="80"/>
      <c r="B235" s="37"/>
    </row>
    <row r="236">
      <c r="A236" s="80"/>
      <c r="B236" s="37"/>
    </row>
    <row r="237">
      <c r="A237" s="80"/>
      <c r="B237" s="37"/>
    </row>
    <row r="238">
      <c r="A238" s="80"/>
      <c r="B238" s="37"/>
    </row>
    <row r="239">
      <c r="A239" s="82"/>
      <c r="B239" s="82"/>
    </row>
    <row r="240">
      <c r="A240" s="142"/>
      <c r="B240" s="142"/>
    </row>
    <row r="241">
      <c r="A241" s="80"/>
      <c r="B241" s="143"/>
    </row>
    <row r="242">
      <c r="A242" s="80"/>
      <c r="B242" s="37"/>
    </row>
    <row r="243">
      <c r="A243" s="80"/>
      <c r="B243" s="37"/>
    </row>
    <row r="244">
      <c r="A244" s="80"/>
      <c r="B244" s="37"/>
    </row>
    <row r="245">
      <c r="A245" s="80"/>
      <c r="B245" s="37"/>
    </row>
    <row r="246">
      <c r="A246" s="80"/>
      <c r="B246" s="37"/>
    </row>
    <row r="247">
      <c r="A247" s="80"/>
      <c r="B247" s="37"/>
    </row>
    <row r="248">
      <c r="A248" s="82"/>
      <c r="B248" s="82"/>
    </row>
    <row r="249">
      <c r="A249" s="142"/>
      <c r="B249" s="142"/>
    </row>
    <row r="250">
      <c r="A250" s="80"/>
      <c r="B250" s="143"/>
    </row>
    <row r="251">
      <c r="A251" s="80"/>
      <c r="B251" s="37"/>
    </row>
    <row r="252">
      <c r="A252" s="80"/>
      <c r="B252" s="37"/>
    </row>
    <row r="253">
      <c r="A253" s="80"/>
      <c r="B253" s="37"/>
    </row>
    <row r="254">
      <c r="A254" s="80"/>
      <c r="B254" s="37"/>
    </row>
    <row r="255">
      <c r="A255" s="80"/>
      <c r="B255" s="37"/>
    </row>
    <row r="256">
      <c r="A256" s="80"/>
      <c r="B256" s="37"/>
    </row>
    <row r="258">
      <c r="A258" s="80"/>
      <c r="B258" s="80"/>
    </row>
    <row r="259">
      <c r="A259" s="80"/>
      <c r="B259" s="143"/>
    </row>
    <row r="260">
      <c r="A260" s="80"/>
      <c r="B260" s="37"/>
    </row>
    <row r="261">
      <c r="A261" s="80"/>
      <c r="B261" s="37"/>
    </row>
    <row r="262">
      <c r="A262" s="80"/>
      <c r="B262" s="37"/>
    </row>
    <row r="263">
      <c r="A263" s="80"/>
      <c r="B263" s="37"/>
    </row>
    <row r="264">
      <c r="A264" s="80"/>
      <c r="B264" s="37"/>
    </row>
    <row r="265">
      <c r="A265" s="80"/>
      <c r="B265" s="37"/>
    </row>
    <row r="266">
      <c r="A266" s="82"/>
      <c r="B266" s="82"/>
    </row>
    <row r="267">
      <c r="A267" s="80"/>
      <c r="B267" s="80"/>
    </row>
    <row r="268">
      <c r="A268" s="80"/>
      <c r="B268" s="143"/>
    </row>
    <row r="269">
      <c r="A269" s="80"/>
      <c r="B269" s="37"/>
    </row>
    <row r="270">
      <c r="A270" s="80"/>
      <c r="B270" s="37"/>
    </row>
    <row r="271">
      <c r="A271" s="80"/>
      <c r="B271" s="37"/>
    </row>
    <row r="272">
      <c r="A272" s="80"/>
      <c r="B272" s="37"/>
    </row>
    <row r="273">
      <c r="A273" s="80"/>
      <c r="B273" s="37"/>
    </row>
    <row r="274">
      <c r="A274" s="80"/>
      <c r="B274" s="37"/>
    </row>
  </sheetData>
  <mergeCells count="5">
    <mergeCell ref="B1:F1"/>
    <mergeCell ref="R200:S200"/>
    <mergeCell ref="B206:D206"/>
    <mergeCell ref="G206:J206"/>
    <mergeCell ref="L206:O20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7.25"/>
    <col customWidth="1" min="2" max="2" width="19.0"/>
    <col customWidth="1" min="3" max="3" width="18.38"/>
    <col customWidth="1" min="4" max="4" width="28.75"/>
    <col customWidth="1" min="5" max="5" width="17.25"/>
    <col customWidth="1" min="6" max="6" width="18.63"/>
    <col customWidth="1" min="8" max="8" width="20.25"/>
    <col customWidth="1" min="9" max="9" width="18.75"/>
    <col customWidth="1" min="10" max="10" width="20.13"/>
  </cols>
  <sheetData>
    <row r="1">
      <c r="A1" s="144" t="s">
        <v>265</v>
      </c>
      <c r="B1" s="85"/>
      <c r="C1" s="85"/>
      <c r="D1" s="85"/>
      <c r="E1" s="85"/>
      <c r="F1" s="43"/>
    </row>
    <row r="2">
      <c r="A2" s="145" t="s">
        <v>111</v>
      </c>
      <c r="B2" s="145" t="s">
        <v>112</v>
      </c>
      <c r="C2" s="146" t="s">
        <v>113</v>
      </c>
      <c r="D2" s="147" t="s">
        <v>266</v>
      </c>
      <c r="E2" s="147" t="s">
        <v>267</v>
      </c>
      <c r="F2" s="147" t="s">
        <v>268</v>
      </c>
      <c r="H2" s="148"/>
      <c r="I2" s="148"/>
      <c r="J2" s="148"/>
    </row>
    <row r="3">
      <c r="A3" s="24" t="s">
        <v>116</v>
      </c>
      <c r="B3" s="24" t="s">
        <v>117</v>
      </c>
      <c r="C3" s="24">
        <v>87.0</v>
      </c>
      <c r="D3" s="24">
        <f>'PP - OSNR - GSNR'!E10</f>
        <v>3.2</v>
      </c>
      <c r="E3" s="24">
        <f t="shared" ref="E3:E31" si="1">(1-EXP(-$J$3*C3))/$J$3</f>
        <v>18.69420587</v>
      </c>
      <c r="F3" s="149">
        <f>(1.55*'DATOS DE EQUIPOS'!$N$10*0.000000001)/(2*PI()*('DATOS DE EQUIPOS'!$N$11)*10^(D3/10)*0.001)</f>
        <v>557.568526</v>
      </c>
      <c r="H3" s="150" t="s">
        <v>269</v>
      </c>
      <c r="I3" s="43"/>
      <c r="J3" s="151">
        <f>'DATOS DE EQUIPOS'!N9/4.343</f>
        <v>0.05295878425</v>
      </c>
    </row>
    <row r="4">
      <c r="A4" s="24" t="s">
        <v>117</v>
      </c>
      <c r="B4" s="24" t="s">
        <v>119</v>
      </c>
      <c r="C4" s="24">
        <v>75.0</v>
      </c>
      <c r="D4" s="24">
        <f>'PP - OSNR - GSNR'!E15</f>
        <v>3.2</v>
      </c>
      <c r="E4" s="24">
        <f t="shared" si="1"/>
        <v>18.52690866</v>
      </c>
      <c r="F4" s="149">
        <f>(1.55*'DATOS DE EQUIPOS'!$N$10*0.000000001)/(2*PI()*('DATOS DE EQUIPOS'!$N$11)*10^(D4/10)*0.001)</f>
        <v>557.568526</v>
      </c>
      <c r="H4" s="10"/>
      <c r="I4" s="148"/>
      <c r="J4" s="148"/>
    </row>
    <row r="5">
      <c r="A5" s="24" t="s">
        <v>119</v>
      </c>
      <c r="B5" s="24" t="s">
        <v>121</v>
      </c>
      <c r="C5" s="24">
        <v>78.0</v>
      </c>
      <c r="D5" s="24">
        <f>'PP - OSNR - GSNR'!E20</f>
        <v>3.2</v>
      </c>
      <c r="E5" s="24">
        <f t="shared" si="1"/>
        <v>18.57916034</v>
      </c>
      <c r="F5" s="149">
        <f>(1.55*'DATOS DE EQUIPOS'!$N$10*0.000000001)/(2*PI()*('DATOS DE EQUIPOS'!$N$11)*10^(D5/10)*0.001)</f>
        <v>557.568526</v>
      </c>
      <c r="H5" s="148"/>
      <c r="I5" s="148"/>
      <c r="J5" s="148"/>
    </row>
    <row r="6">
      <c r="A6" s="24" t="s">
        <v>121</v>
      </c>
      <c r="B6" s="24" t="s">
        <v>123</v>
      </c>
      <c r="C6" s="24">
        <v>34.0</v>
      </c>
      <c r="D6" s="24">
        <f>'PP - OSNR - GSNR'!E29</f>
        <v>3.2</v>
      </c>
      <c r="E6" s="24">
        <f t="shared" si="1"/>
        <v>15.76320251</v>
      </c>
      <c r="F6" s="149">
        <f>(1.55*'DATOS DE EQUIPOS'!$N$10*0.000000001)/(2*PI()*('DATOS DE EQUIPOS'!$N$11)*10^(D6/10)*0.001)</f>
        <v>557.568526</v>
      </c>
      <c r="H6" s="148"/>
      <c r="I6" s="148"/>
      <c r="J6" s="148"/>
    </row>
    <row r="7">
      <c r="A7" s="24" t="s">
        <v>123</v>
      </c>
      <c r="B7" s="24" t="s">
        <v>124</v>
      </c>
      <c r="C7" s="24">
        <v>90.0</v>
      </c>
      <c r="D7" s="24">
        <f>'PP - OSNR - GSNR'!E34</f>
        <v>3.2</v>
      </c>
      <c r="E7" s="24">
        <f t="shared" si="1"/>
        <v>18.7218819</v>
      </c>
      <c r="F7" s="149">
        <f>(1.55*'DATOS DE EQUIPOS'!$N$10*0.000000001)/(2*PI()*('DATOS DE EQUIPOS'!$N$11)*10^(D7/10)*0.001)</f>
        <v>557.568526</v>
      </c>
      <c r="H7" s="148"/>
      <c r="I7" s="148"/>
      <c r="J7" s="148"/>
    </row>
    <row r="8">
      <c r="A8" s="24" t="s">
        <v>124</v>
      </c>
      <c r="B8" s="24" t="s">
        <v>125</v>
      </c>
      <c r="C8" s="24">
        <v>74.0</v>
      </c>
      <c r="D8" s="24">
        <f>'PP - OSNR - GSNR'!E43</f>
        <v>3.2</v>
      </c>
      <c r="E8" s="24">
        <f t="shared" si="1"/>
        <v>18.50756349</v>
      </c>
      <c r="F8" s="149">
        <f>(1.55*'DATOS DE EQUIPOS'!$N$10*0.000000001)/(2*PI()*('DATOS DE EQUIPOS'!$N$11)*10^(D8/10)*0.001)</f>
        <v>557.568526</v>
      </c>
      <c r="H8" s="148"/>
      <c r="I8" s="148"/>
      <c r="J8" s="148"/>
    </row>
    <row r="9">
      <c r="A9" s="24" t="s">
        <v>125</v>
      </c>
      <c r="B9" s="27" t="s">
        <v>126</v>
      </c>
      <c r="C9" s="28">
        <v>67.0</v>
      </c>
      <c r="D9" s="24">
        <f>'PP - OSNR - GSNR'!E48</f>
        <v>3.2</v>
      </c>
      <c r="E9" s="24">
        <f t="shared" si="1"/>
        <v>18.33925632</v>
      </c>
      <c r="F9" s="149">
        <f>(1.55*'DATOS DE EQUIPOS'!$N$10*0.000000001)/(2*PI()*('DATOS DE EQUIPOS'!$N$11)*10^(D9/10)*0.001)</f>
        <v>557.568526</v>
      </c>
      <c r="H9" s="148"/>
      <c r="I9" s="148"/>
      <c r="J9" s="148"/>
    </row>
    <row r="10">
      <c r="A10" s="27" t="s">
        <v>126</v>
      </c>
      <c r="B10" s="27" t="s">
        <v>127</v>
      </c>
      <c r="C10" s="28">
        <v>66.0</v>
      </c>
      <c r="D10" s="24">
        <f>'PP - OSNR - GSNR'!E53</f>
        <v>3.2</v>
      </c>
      <c r="E10" s="24">
        <f t="shared" si="1"/>
        <v>18.30970545</v>
      </c>
      <c r="F10" s="149">
        <f>(1.55*'DATOS DE EQUIPOS'!$N$10*0.000000001)/(2*PI()*('DATOS DE EQUIPOS'!$N$11)*10^(D10/10)*0.001)</f>
        <v>557.568526</v>
      </c>
      <c r="H10" s="148"/>
      <c r="I10" s="148"/>
      <c r="J10" s="148"/>
    </row>
    <row r="11">
      <c r="A11" s="27" t="s">
        <v>127</v>
      </c>
      <c r="B11" s="27" t="s">
        <v>128</v>
      </c>
      <c r="C11" s="28">
        <v>81.0</v>
      </c>
      <c r="D11" s="24">
        <f>'PP - OSNR - GSNR'!E58</f>
        <v>3.2</v>
      </c>
      <c r="E11" s="24">
        <f t="shared" si="1"/>
        <v>18.62373635</v>
      </c>
      <c r="F11" s="149">
        <f>(1.55*'DATOS DE EQUIPOS'!$N$10*0.000000001)/(2*PI()*('DATOS DE EQUIPOS'!$N$11)*10^(D11/10)*0.001)</f>
        <v>557.568526</v>
      </c>
      <c r="H11" s="148"/>
      <c r="I11" s="148"/>
      <c r="J11" s="148"/>
    </row>
    <row r="12">
      <c r="A12" s="24" t="s">
        <v>128</v>
      </c>
      <c r="B12" s="27" t="s">
        <v>129</v>
      </c>
      <c r="C12" s="28">
        <v>25.0</v>
      </c>
      <c r="D12" s="24">
        <f>'PP - OSNR - GSNR'!E67</f>
        <v>3.2</v>
      </c>
      <c r="E12" s="24">
        <f t="shared" si="1"/>
        <v>13.85838116</v>
      </c>
      <c r="F12" s="149">
        <f>(1.55*'DATOS DE EQUIPOS'!$N$10*0.000000001)/(2*PI()*('DATOS DE EQUIPOS'!$N$11)*10^(D12/10)*0.001)</f>
        <v>557.568526</v>
      </c>
      <c r="H12" s="148"/>
      <c r="I12" s="148"/>
      <c r="J12" s="148"/>
    </row>
    <row r="13">
      <c r="A13" s="27" t="s">
        <v>129</v>
      </c>
      <c r="B13" s="27" t="s">
        <v>131</v>
      </c>
      <c r="C13" s="28">
        <v>84.0</v>
      </c>
      <c r="D13" s="24">
        <f>'PP - OSNR - GSNR'!E76</f>
        <v>3.2</v>
      </c>
      <c r="E13" s="24">
        <f t="shared" si="1"/>
        <v>18.66176422</v>
      </c>
      <c r="F13" s="149">
        <f>(1.55*'DATOS DE EQUIPOS'!$N$10*0.000000001)/(2*PI()*('DATOS DE EQUIPOS'!$N$11)*10^(D13/10)*0.001)</f>
        <v>557.568526</v>
      </c>
      <c r="H13" s="148"/>
      <c r="I13" s="148"/>
      <c r="J13" s="148"/>
    </row>
    <row r="14">
      <c r="A14" s="27" t="s">
        <v>131</v>
      </c>
      <c r="B14" s="27" t="s">
        <v>132</v>
      </c>
      <c r="C14" s="28">
        <v>19.0</v>
      </c>
      <c r="D14" s="24">
        <f>'PP - OSNR - GSNR'!E85</f>
        <v>3.2</v>
      </c>
      <c r="E14" s="24">
        <f t="shared" si="1"/>
        <v>11.97913704</v>
      </c>
      <c r="F14" s="149">
        <f>(1.55*'DATOS DE EQUIPOS'!$N$10*0.000000001)/(2*PI()*('DATOS DE EQUIPOS'!$N$11)*10^(D14/10)*0.001)</f>
        <v>557.568526</v>
      </c>
    </row>
    <row r="15">
      <c r="A15" s="27" t="s">
        <v>132</v>
      </c>
      <c r="B15" s="27" t="s">
        <v>133</v>
      </c>
      <c r="C15" s="28">
        <v>60.0</v>
      </c>
      <c r="D15" s="24">
        <f>'PP - OSNR - GSNR'!E90</f>
        <v>3.2</v>
      </c>
      <c r="E15" s="24">
        <f t="shared" si="1"/>
        <v>18.09541877</v>
      </c>
      <c r="F15" s="149">
        <f>(1.55*'DATOS DE EQUIPOS'!$N$10*0.000000001)/(2*PI()*('DATOS DE EQUIPOS'!$N$11)*10^(D15/10)*0.001)</f>
        <v>557.568526</v>
      </c>
    </row>
    <row r="16">
      <c r="A16" s="27" t="s">
        <v>133</v>
      </c>
      <c r="B16" s="27" t="s">
        <v>134</v>
      </c>
      <c r="C16" s="28">
        <v>102.0</v>
      </c>
      <c r="D16" s="24">
        <f>'PP - OSNR - GSNR'!E95</f>
        <v>3.2</v>
      </c>
      <c r="E16" s="24">
        <f t="shared" si="1"/>
        <v>18.7974769</v>
      </c>
      <c r="F16" s="149">
        <f>(1.55*'DATOS DE EQUIPOS'!$N$10*0.000000001)/(2*PI()*('DATOS DE EQUIPOS'!$N$11)*10^(D16/10)*0.001)</f>
        <v>557.568526</v>
      </c>
    </row>
    <row r="17">
      <c r="A17" s="27" t="s">
        <v>134</v>
      </c>
      <c r="B17" s="27" t="s">
        <v>135</v>
      </c>
      <c r="C17" s="28">
        <v>110.0</v>
      </c>
      <c r="D17" s="24">
        <f>'PP - OSNR - GSNR'!E100</f>
        <v>1.23</v>
      </c>
      <c r="E17" s="24">
        <f t="shared" si="1"/>
        <v>18.82687804</v>
      </c>
      <c r="F17" s="149">
        <f>(1.55*'DATOS DE EQUIPOS'!$N$10*0.000000001)/(2*PI()*('DATOS DE EQUIPOS'!$N$11)*10^(D17/10)*0.001)</f>
        <v>877.6033057</v>
      </c>
    </row>
    <row r="18">
      <c r="A18" s="27" t="s">
        <v>135</v>
      </c>
      <c r="B18" s="27" t="s">
        <v>136</v>
      </c>
      <c r="C18" s="28">
        <v>85.0</v>
      </c>
      <c r="D18" s="24">
        <f>'PP - OSNR - GSNR'!E105</f>
        <v>-2.62</v>
      </c>
      <c r="E18" s="24">
        <f t="shared" si="1"/>
        <v>18.67315558</v>
      </c>
      <c r="F18" s="149">
        <f>(1.55*'DATOS DE EQUIPOS'!$N$10*0.000000001)/(2*PI()*('DATOS DE EQUIPOS'!$N$11)*10^(D18/10)*0.001)</f>
        <v>2129.601041</v>
      </c>
    </row>
    <row r="19">
      <c r="A19" s="27" t="s">
        <v>136</v>
      </c>
      <c r="B19" s="27" t="s">
        <v>137</v>
      </c>
      <c r="C19" s="28">
        <v>22.0</v>
      </c>
      <c r="D19" s="24">
        <f>'PP - OSNR - GSNR'!E114</f>
        <v>3.2</v>
      </c>
      <c r="E19" s="24">
        <f t="shared" si="1"/>
        <v>12.99324435</v>
      </c>
      <c r="F19" s="149">
        <f>(1.55*'DATOS DE EQUIPOS'!$N$10*0.000000001)/(2*PI()*('DATOS DE EQUIPOS'!$N$11)*10^(D19/10)*0.001)</f>
        <v>557.568526</v>
      </c>
    </row>
    <row r="20">
      <c r="A20" s="27" t="s">
        <v>137</v>
      </c>
      <c r="B20" s="27" t="s">
        <v>138</v>
      </c>
      <c r="C20" s="28">
        <v>69.0</v>
      </c>
      <c r="D20" s="24">
        <f>'PP - OSNR - GSNR'!E123</f>
        <v>3.2</v>
      </c>
      <c r="E20" s="24">
        <f t="shared" si="1"/>
        <v>18.39386389</v>
      </c>
      <c r="F20" s="149">
        <f>(1.55*'DATOS DE EQUIPOS'!$N$10*0.000000001)/(2*PI()*('DATOS DE EQUIPOS'!$N$11)*10^(D20/10)*0.001)</f>
        <v>557.568526</v>
      </c>
    </row>
    <row r="21">
      <c r="A21" s="27" t="s">
        <v>138</v>
      </c>
      <c r="B21" s="27" t="s">
        <v>139</v>
      </c>
      <c r="C21" s="28">
        <v>100.0</v>
      </c>
      <c r="D21" s="24">
        <f>'PP - OSNR - GSNR'!E132</f>
        <v>3.2</v>
      </c>
      <c r="E21" s="24">
        <f t="shared" si="1"/>
        <v>18.7879651</v>
      </c>
      <c r="F21" s="149">
        <f>(1.55*'DATOS DE EQUIPOS'!$N$10*0.000000001)/(2*PI()*('DATOS DE EQUIPOS'!$N$11)*10^(D21/10)*0.001)</f>
        <v>557.568526</v>
      </c>
    </row>
    <row r="22">
      <c r="A22" s="27" t="s">
        <v>139</v>
      </c>
      <c r="B22" s="27" t="s">
        <v>140</v>
      </c>
      <c r="C22" s="28">
        <v>49.0</v>
      </c>
      <c r="D22" s="24">
        <f>'PP - OSNR - GSNR'!E137</f>
        <v>1.7</v>
      </c>
      <c r="E22" s="24">
        <f t="shared" si="1"/>
        <v>17.47307224</v>
      </c>
      <c r="F22" s="149">
        <f>(1.55*'DATOS DE EQUIPOS'!$N$10*0.000000001)/(2*PI()*('DATOS DE EQUIPOS'!$N$11)*10^(D22/10)*0.001)</f>
        <v>787.5864766</v>
      </c>
    </row>
    <row r="23">
      <c r="A23" s="27" t="s">
        <v>140</v>
      </c>
      <c r="B23" s="27" t="s">
        <v>141</v>
      </c>
      <c r="C23" s="28">
        <v>110.0</v>
      </c>
      <c r="D23" s="24">
        <f>'PP - OSNR - GSNR'!E146</f>
        <v>3.2</v>
      </c>
      <c r="E23" s="24">
        <f t="shared" si="1"/>
        <v>18.82687804</v>
      </c>
      <c r="F23" s="149">
        <f>(1.55*'DATOS DE EQUIPOS'!$N$10*0.000000001)/(2*PI()*('DATOS DE EQUIPOS'!$N$11)*10^(D23/10)*0.001)</f>
        <v>557.568526</v>
      </c>
    </row>
    <row r="24">
      <c r="A24" s="27" t="s">
        <v>141</v>
      </c>
      <c r="B24" s="27" t="s">
        <v>142</v>
      </c>
      <c r="C24" s="28">
        <v>18.0</v>
      </c>
      <c r="D24" s="24">
        <f>'PP - OSNR - GSNR'!E151</f>
        <v>-0.65</v>
      </c>
      <c r="E24" s="24">
        <f t="shared" si="1"/>
        <v>11.60368355</v>
      </c>
      <c r="F24" s="149">
        <f>(1.55*'DATOS DE EQUIPOS'!$N$10*0.000000001)/(2*PI()*('DATOS DE EQUIPOS'!$N$11)*10^(D24/10)*0.001)</f>
        <v>1353.001414</v>
      </c>
    </row>
    <row r="25">
      <c r="A25" s="27" t="s">
        <v>142</v>
      </c>
      <c r="B25" s="27" t="s">
        <v>143</v>
      </c>
      <c r="C25" s="28">
        <v>75.0</v>
      </c>
      <c r="D25" s="24">
        <f>'PP - OSNR - GSNR'!E160</f>
        <v>3.2</v>
      </c>
      <c r="E25" s="24">
        <f t="shared" si="1"/>
        <v>18.52690866</v>
      </c>
      <c r="F25" s="149">
        <f>(1.55*'DATOS DE EQUIPOS'!$N$10*0.000000001)/(2*PI()*('DATOS DE EQUIPOS'!$N$11)*10^(D25/10)*0.001)</f>
        <v>557.568526</v>
      </c>
    </row>
    <row r="26">
      <c r="A26" s="27" t="s">
        <v>143</v>
      </c>
      <c r="B26" s="27" t="s">
        <v>144</v>
      </c>
      <c r="C26" s="28">
        <v>91.0</v>
      </c>
      <c r="D26" s="24">
        <f>'PP - OSNR - GSNR'!E165</f>
        <v>3.2</v>
      </c>
      <c r="E26" s="24">
        <f t="shared" si="1"/>
        <v>18.73017233</v>
      </c>
      <c r="F26" s="149">
        <f>(1.55*'DATOS DE EQUIPOS'!$N$10*0.000000001)/(2*PI()*('DATOS DE EQUIPOS'!$N$11)*10^(D26/10)*0.001)</f>
        <v>557.568526</v>
      </c>
    </row>
    <row r="27">
      <c r="A27" s="27" t="s">
        <v>144</v>
      </c>
      <c r="B27" s="27" t="s">
        <v>145</v>
      </c>
      <c r="C27" s="28">
        <v>28.0</v>
      </c>
      <c r="D27" s="24">
        <f>'PP - OSNR - GSNR'!E174</f>
        <v>3.2</v>
      </c>
      <c r="E27" s="24">
        <f t="shared" si="1"/>
        <v>14.59643096</v>
      </c>
      <c r="F27" s="149">
        <f>(1.55*'DATOS DE EQUIPOS'!$N$10*0.000000001)/(2*PI()*('DATOS DE EQUIPOS'!$N$11)*10^(D27/10)*0.001)</f>
        <v>557.568526</v>
      </c>
    </row>
    <row r="28">
      <c r="A28" s="27" t="s">
        <v>145</v>
      </c>
      <c r="B28" s="27" t="s">
        <v>146</v>
      </c>
      <c r="C28" s="28">
        <v>92.0</v>
      </c>
      <c r="D28" s="24">
        <f>'PP - OSNR - GSNR'!E183</f>
        <v>3.2</v>
      </c>
      <c r="E28" s="24">
        <f t="shared" si="1"/>
        <v>18.73803513</v>
      </c>
      <c r="F28" s="149">
        <f>(1.55*'DATOS DE EQUIPOS'!$N$10*0.000000001)/(2*PI()*('DATOS DE EQUIPOS'!$N$11)*10^(D28/10)*0.001)</f>
        <v>557.568526</v>
      </c>
    </row>
    <row r="29">
      <c r="A29" s="27" t="s">
        <v>146</v>
      </c>
      <c r="B29" s="27" t="s">
        <v>147</v>
      </c>
      <c r="C29" s="28">
        <v>84.0</v>
      </c>
      <c r="D29" s="24">
        <f>'PP - OSNR - GSNR'!E188</f>
        <v>3.2</v>
      </c>
      <c r="E29" s="24">
        <f t="shared" si="1"/>
        <v>18.66176422</v>
      </c>
      <c r="F29" s="149">
        <f>(1.55*'DATOS DE EQUIPOS'!$N$10*0.000000001)/(2*PI()*('DATOS DE EQUIPOS'!$N$11)*10^(D29/10)*0.001)</f>
        <v>557.568526</v>
      </c>
    </row>
    <row r="30">
      <c r="A30" s="27" t="s">
        <v>147</v>
      </c>
      <c r="B30" s="27" t="s">
        <v>148</v>
      </c>
      <c r="C30" s="28">
        <v>54.0</v>
      </c>
      <c r="D30" s="24">
        <f>'PP - OSNR - GSNR'!E193</f>
        <v>3.2</v>
      </c>
      <c r="E30" s="24">
        <f t="shared" si="1"/>
        <v>17.80098106</v>
      </c>
      <c r="F30" s="149">
        <f>(1.55*'DATOS DE EQUIPOS'!$N$10*0.000000001)/(2*PI()*('DATOS DE EQUIPOS'!$N$11)*10^(D30/10)*0.001)</f>
        <v>557.568526</v>
      </c>
    </row>
    <row r="31">
      <c r="A31" s="27" t="s">
        <v>148</v>
      </c>
      <c r="B31" s="27" t="s">
        <v>149</v>
      </c>
      <c r="C31" s="28">
        <v>74.0</v>
      </c>
      <c r="D31" s="24">
        <f>'PP - OSNR - GSNR'!E198</f>
        <v>3.2</v>
      </c>
      <c r="E31" s="24">
        <f t="shared" si="1"/>
        <v>18.50756349</v>
      </c>
      <c r="F31" s="149">
        <f>(1.55*'DATOS DE EQUIPOS'!$N$10*0.000000001)/(2*PI()*('DATOS DE EQUIPOS'!$N$11)*10^(D31/10)*0.001)</f>
        <v>557.568526</v>
      </c>
    </row>
  </sheetData>
  <mergeCells count="2">
    <mergeCell ref="A1:F1"/>
    <mergeCell ref="H3:I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24.38"/>
    <col customWidth="1" min="2" max="2" width="19.25"/>
    <col customWidth="1" min="3" max="3" width="15.38"/>
    <col customWidth="1" min="4" max="4" width="17.5"/>
    <col customWidth="1" min="5" max="5" width="28.75"/>
    <col customWidth="1" min="6" max="6" width="18.25"/>
    <col customWidth="1" min="7" max="7" width="29.13"/>
    <col customWidth="1" min="8" max="8" width="18.63"/>
    <col customWidth="1" min="9" max="9" width="28.88"/>
    <col customWidth="1" min="10" max="10" width="17.75"/>
    <col customWidth="1" min="11" max="11" width="30.13"/>
  </cols>
  <sheetData>
    <row r="1">
      <c r="A1" s="152"/>
      <c r="D1" s="153" t="s">
        <v>270</v>
      </c>
      <c r="L1" s="154"/>
      <c r="M1" s="154"/>
    </row>
    <row r="2">
      <c r="D2" s="155"/>
      <c r="L2" s="154"/>
      <c r="M2" s="154"/>
    </row>
    <row r="3">
      <c r="D3" s="156" t="s">
        <v>271</v>
      </c>
      <c r="E3" s="157"/>
      <c r="F3" s="156" t="s">
        <v>272</v>
      </c>
      <c r="G3" s="157"/>
      <c r="H3" s="158" t="s">
        <v>273</v>
      </c>
      <c r="I3" s="157"/>
      <c r="J3" s="158" t="s">
        <v>274</v>
      </c>
      <c r="K3" s="157"/>
      <c r="L3" s="159"/>
      <c r="M3" s="159"/>
    </row>
    <row r="4">
      <c r="A4" s="160"/>
      <c r="B4" s="160"/>
      <c r="C4" s="160"/>
      <c r="D4" s="161" t="s">
        <v>275</v>
      </c>
      <c r="E4" s="161">
        <f>'DATOS DE EQUIPOS'!N12</f>
        <v>18</v>
      </c>
      <c r="F4" s="161" t="s">
        <v>276</v>
      </c>
      <c r="G4" s="162">
        <f>('DATOS DE EQUIPOS'!N14/4)*(1528.77-('DATOS DE EQUIPOS'!N13)^4/(1528.77)^3)</f>
        <v>16.20396997</v>
      </c>
      <c r="H4" s="161" t="s">
        <v>277</v>
      </c>
      <c r="I4" s="162">
        <f>('DATOS DE EQUIPOS'!N14/4)*(1547.72-('DATOS DE EQUIPOS'!N13)^4/(1547.72)^3)</f>
        <v>17.32767412</v>
      </c>
      <c r="J4" s="161" t="s">
        <v>278</v>
      </c>
      <c r="K4" s="162">
        <f>('DATOS DE EQUIPOS'!N14/4)*(1566.31-('DATOS DE EQUIPOS'!N13)^4/(1566.31)^3)</f>
        <v>18.39807106</v>
      </c>
      <c r="L4" s="159"/>
      <c r="M4" s="159"/>
    </row>
    <row r="5">
      <c r="A5" s="163" t="s">
        <v>279</v>
      </c>
      <c r="B5" s="164" t="s">
        <v>112</v>
      </c>
      <c r="C5" s="165" t="s">
        <v>113</v>
      </c>
      <c r="D5" s="166" t="s">
        <v>280</v>
      </c>
      <c r="E5" s="163" t="s">
        <v>281</v>
      </c>
      <c r="F5" s="161" t="s">
        <v>280</v>
      </c>
      <c r="G5" s="161" t="s">
        <v>281</v>
      </c>
      <c r="H5" s="161" t="s">
        <v>280</v>
      </c>
      <c r="I5" s="161" t="s">
        <v>281</v>
      </c>
      <c r="J5" s="161" t="s">
        <v>280</v>
      </c>
      <c r="K5" s="161" t="s">
        <v>281</v>
      </c>
      <c r="L5" s="159"/>
      <c r="M5" s="159"/>
    </row>
    <row r="6">
      <c r="A6" s="24" t="s">
        <v>116</v>
      </c>
      <c r="B6" s="24" t="s">
        <v>117</v>
      </c>
      <c r="C6" s="167">
        <v>87.0</v>
      </c>
      <c r="D6" s="168">
        <f t="shared" ref="D6:D34" si="1">C6*$E$4</f>
        <v>1566</v>
      </c>
      <c r="E6" s="126">
        <f>D6</f>
        <v>1566</v>
      </c>
      <c r="F6" s="169">
        <f t="shared" ref="F6:F34" si="2">C6*$G$4</f>
        <v>1409.745387</v>
      </c>
      <c r="G6" s="169">
        <f>F6</f>
        <v>1409.745387</v>
      </c>
      <c r="H6" s="89">
        <f t="shared" ref="H6:H34" si="3">C6*$I$4</f>
        <v>1507.507649</v>
      </c>
      <c r="I6" s="89">
        <f>H6</f>
        <v>1507.507649</v>
      </c>
      <c r="J6" s="89">
        <f t="shared" ref="J6:J34" si="4">C6*$K$4</f>
        <v>1600.632182</v>
      </c>
      <c r="K6" s="89">
        <f>J6</f>
        <v>1600.632182</v>
      </c>
    </row>
    <row r="7">
      <c r="A7" s="24" t="s">
        <v>117</v>
      </c>
      <c r="B7" s="24" t="s">
        <v>119</v>
      </c>
      <c r="C7" s="167">
        <v>75.0</v>
      </c>
      <c r="D7" s="168">
        <f t="shared" si="1"/>
        <v>1350</v>
      </c>
      <c r="E7" s="126">
        <f t="shared" ref="E7:E34" si="5">D7+E6</f>
        <v>2916</v>
      </c>
      <c r="F7" s="169">
        <f t="shared" si="2"/>
        <v>1215.297747</v>
      </c>
      <c r="G7" s="169">
        <f t="shared" ref="G7:G34" si="6">F7+G6</f>
        <v>2625.043134</v>
      </c>
      <c r="H7" s="89">
        <f t="shared" si="3"/>
        <v>1299.575559</v>
      </c>
      <c r="I7" s="89">
        <f t="shared" ref="I7:I34" si="7">H7+I6</f>
        <v>2807.083208</v>
      </c>
      <c r="J7" s="89">
        <f t="shared" si="4"/>
        <v>1379.85533</v>
      </c>
      <c r="K7" s="89">
        <f t="shared" ref="K7:K34" si="8">J7+K6</f>
        <v>2980.487512</v>
      </c>
    </row>
    <row r="8">
      <c r="A8" s="24" t="s">
        <v>119</v>
      </c>
      <c r="B8" s="24" t="s">
        <v>121</v>
      </c>
      <c r="C8" s="167">
        <v>78.0</v>
      </c>
      <c r="D8" s="168">
        <f t="shared" si="1"/>
        <v>1404</v>
      </c>
      <c r="E8" s="126">
        <f t="shared" si="5"/>
        <v>4320</v>
      </c>
      <c r="F8" s="169">
        <f t="shared" si="2"/>
        <v>1263.909657</v>
      </c>
      <c r="G8" s="169">
        <f t="shared" si="6"/>
        <v>3888.952792</v>
      </c>
      <c r="H8" s="89">
        <f t="shared" si="3"/>
        <v>1351.558581</v>
      </c>
      <c r="I8" s="89">
        <f t="shared" si="7"/>
        <v>4158.641789</v>
      </c>
      <c r="J8" s="89">
        <f t="shared" si="4"/>
        <v>1435.049543</v>
      </c>
      <c r="K8" s="89">
        <f t="shared" si="8"/>
        <v>4415.537055</v>
      </c>
    </row>
    <row r="9">
      <c r="A9" s="24" t="s">
        <v>121</v>
      </c>
      <c r="B9" s="24" t="s">
        <v>123</v>
      </c>
      <c r="C9" s="167">
        <v>34.0</v>
      </c>
      <c r="D9" s="168">
        <f t="shared" si="1"/>
        <v>612</v>
      </c>
      <c r="E9" s="126">
        <f t="shared" si="5"/>
        <v>4932</v>
      </c>
      <c r="F9" s="169">
        <f t="shared" si="2"/>
        <v>550.9349788</v>
      </c>
      <c r="G9" s="169">
        <f t="shared" si="6"/>
        <v>4439.887771</v>
      </c>
      <c r="H9" s="89">
        <f t="shared" si="3"/>
        <v>589.1409201</v>
      </c>
      <c r="I9" s="89">
        <f t="shared" si="7"/>
        <v>4747.782709</v>
      </c>
      <c r="J9" s="89">
        <f t="shared" si="4"/>
        <v>625.5344161</v>
      </c>
      <c r="K9" s="89">
        <f t="shared" si="8"/>
        <v>5041.071471</v>
      </c>
    </row>
    <row r="10">
      <c r="A10" s="24" t="s">
        <v>123</v>
      </c>
      <c r="B10" s="24" t="s">
        <v>124</v>
      </c>
      <c r="C10" s="167">
        <v>90.0</v>
      </c>
      <c r="D10" s="168">
        <f t="shared" si="1"/>
        <v>1620</v>
      </c>
      <c r="E10" s="126">
        <f t="shared" si="5"/>
        <v>6552</v>
      </c>
      <c r="F10" s="169">
        <f t="shared" si="2"/>
        <v>1458.357297</v>
      </c>
      <c r="G10" s="169">
        <f t="shared" si="6"/>
        <v>5898.245067</v>
      </c>
      <c r="H10" s="89">
        <f t="shared" si="3"/>
        <v>1559.490671</v>
      </c>
      <c r="I10" s="89">
        <f t="shared" si="7"/>
        <v>6307.27338</v>
      </c>
      <c r="J10" s="89">
        <f t="shared" si="4"/>
        <v>1655.826395</v>
      </c>
      <c r="K10" s="89">
        <f t="shared" si="8"/>
        <v>6696.897866</v>
      </c>
    </row>
    <row r="11">
      <c r="A11" s="24" t="s">
        <v>124</v>
      </c>
      <c r="B11" s="24" t="s">
        <v>125</v>
      </c>
      <c r="C11" s="167">
        <v>74.0</v>
      </c>
      <c r="D11" s="168">
        <f t="shared" si="1"/>
        <v>1332</v>
      </c>
      <c r="E11" s="126">
        <f t="shared" si="5"/>
        <v>7884</v>
      </c>
      <c r="F11" s="169">
        <f t="shared" si="2"/>
        <v>1199.093777</v>
      </c>
      <c r="G11" s="169">
        <f t="shared" si="6"/>
        <v>7097.338845</v>
      </c>
      <c r="H11" s="89">
        <f t="shared" si="3"/>
        <v>1282.247885</v>
      </c>
      <c r="I11" s="89">
        <f t="shared" si="7"/>
        <v>7589.521265</v>
      </c>
      <c r="J11" s="89">
        <f t="shared" si="4"/>
        <v>1361.457259</v>
      </c>
      <c r="K11" s="89">
        <f t="shared" si="8"/>
        <v>8058.355125</v>
      </c>
    </row>
    <row r="12">
      <c r="A12" s="24" t="s">
        <v>125</v>
      </c>
      <c r="B12" s="27" t="s">
        <v>126</v>
      </c>
      <c r="C12" s="167">
        <v>67.0</v>
      </c>
      <c r="D12" s="168">
        <f t="shared" si="1"/>
        <v>1206</v>
      </c>
      <c r="E12" s="126">
        <f t="shared" si="5"/>
        <v>9090</v>
      </c>
      <c r="F12" s="169">
        <f t="shared" si="2"/>
        <v>1085.665988</v>
      </c>
      <c r="G12" s="169">
        <f t="shared" si="6"/>
        <v>8183.004833</v>
      </c>
      <c r="H12" s="89">
        <f t="shared" si="3"/>
        <v>1160.954166</v>
      </c>
      <c r="I12" s="89">
        <f t="shared" si="7"/>
        <v>8750.475431</v>
      </c>
      <c r="J12" s="89">
        <f t="shared" si="4"/>
        <v>1232.670761</v>
      </c>
      <c r="K12" s="89">
        <f t="shared" si="8"/>
        <v>9291.025886</v>
      </c>
    </row>
    <row r="13">
      <c r="A13" s="27" t="s">
        <v>126</v>
      </c>
      <c r="B13" s="27" t="s">
        <v>127</v>
      </c>
      <c r="C13" s="167">
        <v>66.0</v>
      </c>
      <c r="D13" s="168">
        <f t="shared" si="1"/>
        <v>1188</v>
      </c>
      <c r="E13" s="126">
        <f t="shared" si="5"/>
        <v>10278</v>
      </c>
      <c r="F13" s="169">
        <f t="shared" si="2"/>
        <v>1069.462018</v>
      </c>
      <c r="G13" s="169">
        <f t="shared" si="6"/>
        <v>9252.46685</v>
      </c>
      <c r="H13" s="89">
        <f t="shared" si="3"/>
        <v>1143.626492</v>
      </c>
      <c r="I13" s="89">
        <f t="shared" si="7"/>
        <v>9894.101923</v>
      </c>
      <c r="J13" s="89">
        <f t="shared" si="4"/>
        <v>1214.27269</v>
      </c>
      <c r="K13" s="89">
        <f t="shared" si="8"/>
        <v>10505.29858</v>
      </c>
    </row>
    <row r="14">
      <c r="A14" s="27" t="s">
        <v>127</v>
      </c>
      <c r="B14" s="27" t="s">
        <v>128</v>
      </c>
      <c r="C14" s="167">
        <v>81.0</v>
      </c>
      <c r="D14" s="168">
        <f t="shared" si="1"/>
        <v>1458</v>
      </c>
      <c r="E14" s="126">
        <f t="shared" si="5"/>
        <v>11736</v>
      </c>
      <c r="F14" s="169">
        <f t="shared" si="2"/>
        <v>1312.521567</v>
      </c>
      <c r="G14" s="169">
        <f t="shared" si="6"/>
        <v>10564.98842</v>
      </c>
      <c r="H14" s="89">
        <f t="shared" si="3"/>
        <v>1403.541604</v>
      </c>
      <c r="I14" s="89">
        <f t="shared" si="7"/>
        <v>11297.64353</v>
      </c>
      <c r="J14" s="89">
        <f t="shared" si="4"/>
        <v>1490.243756</v>
      </c>
      <c r="K14" s="89">
        <f t="shared" si="8"/>
        <v>11995.54233</v>
      </c>
    </row>
    <row r="15">
      <c r="A15" s="24" t="s">
        <v>128</v>
      </c>
      <c r="B15" s="27" t="s">
        <v>129</v>
      </c>
      <c r="C15" s="167">
        <v>25.0</v>
      </c>
      <c r="D15" s="168">
        <f t="shared" si="1"/>
        <v>450</v>
      </c>
      <c r="E15" s="126">
        <f t="shared" si="5"/>
        <v>12186</v>
      </c>
      <c r="F15" s="169">
        <f t="shared" si="2"/>
        <v>405.0992491</v>
      </c>
      <c r="G15" s="169">
        <f t="shared" si="6"/>
        <v>10970.08767</v>
      </c>
      <c r="H15" s="89">
        <f t="shared" si="3"/>
        <v>433.191853</v>
      </c>
      <c r="I15" s="89">
        <f t="shared" si="7"/>
        <v>11730.83538</v>
      </c>
      <c r="J15" s="89">
        <f t="shared" si="4"/>
        <v>459.9517765</v>
      </c>
      <c r="K15" s="89">
        <f t="shared" si="8"/>
        <v>12455.49411</v>
      </c>
    </row>
    <row r="16">
      <c r="A16" s="27" t="s">
        <v>129</v>
      </c>
      <c r="B16" s="27" t="s">
        <v>131</v>
      </c>
      <c r="C16" s="167">
        <v>84.0</v>
      </c>
      <c r="D16" s="168">
        <f t="shared" si="1"/>
        <v>1512</v>
      </c>
      <c r="E16" s="126">
        <f t="shared" si="5"/>
        <v>13698</v>
      </c>
      <c r="F16" s="169">
        <f t="shared" si="2"/>
        <v>1361.133477</v>
      </c>
      <c r="G16" s="169">
        <f t="shared" si="6"/>
        <v>12331.22114</v>
      </c>
      <c r="H16" s="89">
        <f t="shared" si="3"/>
        <v>1455.524626</v>
      </c>
      <c r="I16" s="89">
        <f t="shared" si="7"/>
        <v>13186.36001</v>
      </c>
      <c r="J16" s="89">
        <f t="shared" si="4"/>
        <v>1545.437969</v>
      </c>
      <c r="K16" s="89">
        <f t="shared" si="8"/>
        <v>14000.93208</v>
      </c>
    </row>
    <row r="17">
      <c r="A17" s="27" t="s">
        <v>131</v>
      </c>
      <c r="B17" s="27" t="s">
        <v>132</v>
      </c>
      <c r="C17" s="167">
        <v>19.0</v>
      </c>
      <c r="D17" s="168">
        <f t="shared" si="1"/>
        <v>342</v>
      </c>
      <c r="E17" s="126">
        <f t="shared" si="5"/>
        <v>14040</v>
      </c>
      <c r="F17" s="169">
        <f t="shared" si="2"/>
        <v>307.8754293</v>
      </c>
      <c r="G17" s="169">
        <f t="shared" si="6"/>
        <v>12639.09657</v>
      </c>
      <c r="H17" s="89">
        <f t="shared" si="3"/>
        <v>329.2258083</v>
      </c>
      <c r="I17" s="89">
        <f t="shared" si="7"/>
        <v>13515.58581</v>
      </c>
      <c r="J17" s="89">
        <f t="shared" si="4"/>
        <v>349.5633502</v>
      </c>
      <c r="K17" s="89">
        <f t="shared" si="8"/>
        <v>14350.49543</v>
      </c>
    </row>
    <row r="18">
      <c r="A18" s="27" t="s">
        <v>132</v>
      </c>
      <c r="B18" s="27" t="s">
        <v>133</v>
      </c>
      <c r="C18" s="167">
        <v>60.0</v>
      </c>
      <c r="D18" s="168">
        <f t="shared" si="1"/>
        <v>1080</v>
      </c>
      <c r="E18" s="126">
        <f t="shared" si="5"/>
        <v>15120</v>
      </c>
      <c r="F18" s="169">
        <f t="shared" si="2"/>
        <v>972.2381979</v>
      </c>
      <c r="G18" s="169">
        <f t="shared" si="6"/>
        <v>13611.33477</v>
      </c>
      <c r="H18" s="89">
        <f t="shared" si="3"/>
        <v>1039.660447</v>
      </c>
      <c r="I18" s="89">
        <f t="shared" si="7"/>
        <v>14555.24626</v>
      </c>
      <c r="J18" s="89">
        <f t="shared" si="4"/>
        <v>1103.884264</v>
      </c>
      <c r="K18" s="89">
        <f t="shared" si="8"/>
        <v>15454.37969</v>
      </c>
    </row>
    <row r="19">
      <c r="A19" s="27" t="s">
        <v>133</v>
      </c>
      <c r="B19" s="27" t="s">
        <v>134</v>
      </c>
      <c r="C19" s="167">
        <v>102.0</v>
      </c>
      <c r="D19" s="168">
        <f t="shared" si="1"/>
        <v>1836</v>
      </c>
      <c r="E19" s="126">
        <f t="shared" si="5"/>
        <v>16956</v>
      </c>
      <c r="F19" s="169">
        <f t="shared" si="2"/>
        <v>1652.804936</v>
      </c>
      <c r="G19" s="169">
        <f t="shared" si="6"/>
        <v>15264.13971</v>
      </c>
      <c r="H19" s="89">
        <f t="shared" si="3"/>
        <v>1767.42276</v>
      </c>
      <c r="I19" s="89">
        <f t="shared" si="7"/>
        <v>16322.66902</v>
      </c>
      <c r="J19" s="89">
        <f t="shared" si="4"/>
        <v>1876.603248</v>
      </c>
      <c r="K19" s="89">
        <f t="shared" si="8"/>
        <v>17330.98294</v>
      </c>
    </row>
    <row r="20">
      <c r="A20" s="27" t="s">
        <v>134</v>
      </c>
      <c r="B20" s="27" t="s">
        <v>135</v>
      </c>
      <c r="C20" s="167">
        <v>110.0</v>
      </c>
      <c r="D20" s="168">
        <f t="shared" si="1"/>
        <v>1980</v>
      </c>
      <c r="E20" s="126">
        <f t="shared" si="5"/>
        <v>18936</v>
      </c>
      <c r="F20" s="169">
        <f t="shared" si="2"/>
        <v>1782.436696</v>
      </c>
      <c r="G20" s="169">
        <f t="shared" si="6"/>
        <v>17046.5764</v>
      </c>
      <c r="H20" s="89">
        <f t="shared" si="3"/>
        <v>1906.044153</v>
      </c>
      <c r="I20" s="89">
        <f t="shared" si="7"/>
        <v>18228.71318</v>
      </c>
      <c r="J20" s="89">
        <f t="shared" si="4"/>
        <v>2023.787817</v>
      </c>
      <c r="K20" s="89">
        <f t="shared" si="8"/>
        <v>19354.77076</v>
      </c>
    </row>
    <row r="21">
      <c r="A21" s="27" t="s">
        <v>135</v>
      </c>
      <c r="B21" s="27" t="s">
        <v>136</v>
      </c>
      <c r="C21" s="167">
        <v>85.0</v>
      </c>
      <c r="D21" s="168">
        <f t="shared" si="1"/>
        <v>1530</v>
      </c>
      <c r="E21" s="126">
        <f t="shared" si="5"/>
        <v>20466</v>
      </c>
      <c r="F21" s="169">
        <f t="shared" si="2"/>
        <v>1377.337447</v>
      </c>
      <c r="G21" s="169">
        <f t="shared" si="6"/>
        <v>18423.91385</v>
      </c>
      <c r="H21" s="89">
        <f t="shared" si="3"/>
        <v>1472.8523</v>
      </c>
      <c r="I21" s="89">
        <f t="shared" si="7"/>
        <v>19701.56548</v>
      </c>
      <c r="J21" s="89">
        <f t="shared" si="4"/>
        <v>1563.83604</v>
      </c>
      <c r="K21" s="89">
        <f t="shared" si="8"/>
        <v>20918.6068</v>
      </c>
    </row>
    <row r="22">
      <c r="A22" s="27" t="s">
        <v>136</v>
      </c>
      <c r="B22" s="27" t="s">
        <v>137</v>
      </c>
      <c r="C22" s="167">
        <v>22.0</v>
      </c>
      <c r="D22" s="168">
        <f t="shared" si="1"/>
        <v>396</v>
      </c>
      <c r="E22" s="126">
        <f t="shared" si="5"/>
        <v>20862</v>
      </c>
      <c r="F22" s="169">
        <f t="shared" si="2"/>
        <v>356.4873392</v>
      </c>
      <c r="G22" s="169">
        <f t="shared" si="6"/>
        <v>18780.40119</v>
      </c>
      <c r="H22" s="89">
        <f t="shared" si="3"/>
        <v>381.2088307</v>
      </c>
      <c r="I22" s="89">
        <f t="shared" si="7"/>
        <v>20082.77431</v>
      </c>
      <c r="J22" s="89">
        <f t="shared" si="4"/>
        <v>404.7575633</v>
      </c>
      <c r="K22" s="89">
        <f t="shared" si="8"/>
        <v>21323.36436</v>
      </c>
    </row>
    <row r="23">
      <c r="A23" s="27" t="s">
        <v>137</v>
      </c>
      <c r="B23" s="27" t="s">
        <v>138</v>
      </c>
      <c r="C23" s="167">
        <v>69.0</v>
      </c>
      <c r="D23" s="168">
        <f t="shared" si="1"/>
        <v>1242</v>
      </c>
      <c r="E23" s="126">
        <f t="shared" si="5"/>
        <v>22104</v>
      </c>
      <c r="F23" s="169">
        <f t="shared" si="2"/>
        <v>1118.073928</v>
      </c>
      <c r="G23" s="169">
        <f t="shared" si="6"/>
        <v>19898.47512</v>
      </c>
      <c r="H23" s="89">
        <f t="shared" si="3"/>
        <v>1195.609514</v>
      </c>
      <c r="I23" s="89">
        <f t="shared" si="7"/>
        <v>21278.38382</v>
      </c>
      <c r="J23" s="89">
        <f t="shared" si="4"/>
        <v>1269.466903</v>
      </c>
      <c r="K23" s="89">
        <f t="shared" si="8"/>
        <v>22592.83126</v>
      </c>
    </row>
    <row r="24">
      <c r="A24" s="27" t="s">
        <v>138</v>
      </c>
      <c r="B24" s="27" t="s">
        <v>139</v>
      </c>
      <c r="C24" s="167">
        <v>100.0</v>
      </c>
      <c r="D24" s="168">
        <f t="shared" si="1"/>
        <v>1800</v>
      </c>
      <c r="E24" s="126">
        <f t="shared" si="5"/>
        <v>23904</v>
      </c>
      <c r="F24" s="169">
        <f t="shared" si="2"/>
        <v>1620.396997</v>
      </c>
      <c r="G24" s="169">
        <f t="shared" si="6"/>
        <v>21518.87211</v>
      </c>
      <c r="H24" s="89">
        <f t="shared" si="3"/>
        <v>1732.767412</v>
      </c>
      <c r="I24" s="89">
        <f t="shared" si="7"/>
        <v>23011.15123</v>
      </c>
      <c r="J24" s="89">
        <f t="shared" si="4"/>
        <v>1839.807106</v>
      </c>
      <c r="K24" s="89">
        <f t="shared" si="8"/>
        <v>24432.63837</v>
      </c>
    </row>
    <row r="25">
      <c r="A25" s="27" t="s">
        <v>139</v>
      </c>
      <c r="B25" s="27" t="s">
        <v>140</v>
      </c>
      <c r="C25" s="167">
        <v>49.0</v>
      </c>
      <c r="D25" s="168">
        <f t="shared" si="1"/>
        <v>882</v>
      </c>
      <c r="E25" s="126">
        <f t="shared" si="5"/>
        <v>24786</v>
      </c>
      <c r="F25" s="169">
        <f t="shared" si="2"/>
        <v>793.9945283</v>
      </c>
      <c r="G25" s="169">
        <f t="shared" si="6"/>
        <v>22312.86664</v>
      </c>
      <c r="H25" s="89">
        <f t="shared" si="3"/>
        <v>849.0560319</v>
      </c>
      <c r="I25" s="89">
        <f t="shared" si="7"/>
        <v>23860.20726</v>
      </c>
      <c r="J25" s="89">
        <f t="shared" si="4"/>
        <v>901.505482</v>
      </c>
      <c r="K25" s="89">
        <f t="shared" si="8"/>
        <v>25334.14385</v>
      </c>
    </row>
    <row r="26">
      <c r="A26" s="27" t="s">
        <v>140</v>
      </c>
      <c r="B26" s="27" t="s">
        <v>141</v>
      </c>
      <c r="C26" s="167">
        <v>110.0</v>
      </c>
      <c r="D26" s="168">
        <f t="shared" si="1"/>
        <v>1980</v>
      </c>
      <c r="E26" s="126">
        <f t="shared" si="5"/>
        <v>26766</v>
      </c>
      <c r="F26" s="169">
        <f t="shared" si="2"/>
        <v>1782.436696</v>
      </c>
      <c r="G26" s="169">
        <f t="shared" si="6"/>
        <v>24095.30334</v>
      </c>
      <c r="H26" s="89">
        <f t="shared" si="3"/>
        <v>1906.044153</v>
      </c>
      <c r="I26" s="89">
        <f t="shared" si="7"/>
        <v>25766.25142</v>
      </c>
      <c r="J26" s="89">
        <f t="shared" si="4"/>
        <v>2023.787817</v>
      </c>
      <c r="K26" s="89">
        <f t="shared" si="8"/>
        <v>27357.93167</v>
      </c>
    </row>
    <row r="27">
      <c r="A27" s="27" t="s">
        <v>141</v>
      </c>
      <c r="B27" s="27" t="s">
        <v>142</v>
      </c>
      <c r="C27" s="167">
        <v>18.0</v>
      </c>
      <c r="D27" s="168">
        <f t="shared" si="1"/>
        <v>324</v>
      </c>
      <c r="E27" s="126">
        <f t="shared" si="5"/>
        <v>27090</v>
      </c>
      <c r="F27" s="169">
        <f t="shared" si="2"/>
        <v>291.6714594</v>
      </c>
      <c r="G27" s="169">
        <f t="shared" si="6"/>
        <v>24386.9748</v>
      </c>
      <c r="H27" s="89">
        <f t="shared" si="3"/>
        <v>311.8981342</v>
      </c>
      <c r="I27" s="89">
        <f t="shared" si="7"/>
        <v>26078.14955</v>
      </c>
      <c r="J27" s="89">
        <f t="shared" si="4"/>
        <v>331.1652791</v>
      </c>
      <c r="K27" s="89">
        <f t="shared" si="8"/>
        <v>27689.09695</v>
      </c>
    </row>
    <row r="28">
      <c r="A28" s="27" t="s">
        <v>142</v>
      </c>
      <c r="B28" s="27" t="s">
        <v>143</v>
      </c>
      <c r="C28" s="167">
        <v>75.0</v>
      </c>
      <c r="D28" s="168">
        <f t="shared" si="1"/>
        <v>1350</v>
      </c>
      <c r="E28" s="126">
        <f t="shared" si="5"/>
        <v>28440</v>
      </c>
      <c r="F28" s="169">
        <f t="shared" si="2"/>
        <v>1215.297747</v>
      </c>
      <c r="G28" s="169">
        <f t="shared" si="6"/>
        <v>25602.27255</v>
      </c>
      <c r="H28" s="89">
        <f t="shared" si="3"/>
        <v>1299.575559</v>
      </c>
      <c r="I28" s="89">
        <f t="shared" si="7"/>
        <v>27377.72511</v>
      </c>
      <c r="J28" s="89">
        <f t="shared" si="4"/>
        <v>1379.85533</v>
      </c>
      <c r="K28" s="89">
        <f t="shared" si="8"/>
        <v>29068.95228</v>
      </c>
    </row>
    <row r="29">
      <c r="A29" s="27" t="s">
        <v>143</v>
      </c>
      <c r="B29" s="27" t="s">
        <v>144</v>
      </c>
      <c r="C29" s="167">
        <v>91.0</v>
      </c>
      <c r="D29" s="168">
        <f t="shared" si="1"/>
        <v>1638</v>
      </c>
      <c r="E29" s="126">
        <f t="shared" si="5"/>
        <v>30078</v>
      </c>
      <c r="F29" s="169">
        <f t="shared" si="2"/>
        <v>1474.561267</v>
      </c>
      <c r="G29" s="169">
        <f t="shared" si="6"/>
        <v>27076.83381</v>
      </c>
      <c r="H29" s="89">
        <f t="shared" si="3"/>
        <v>1576.818345</v>
      </c>
      <c r="I29" s="89">
        <f t="shared" si="7"/>
        <v>28954.54346</v>
      </c>
      <c r="J29" s="89">
        <f t="shared" si="4"/>
        <v>1674.224467</v>
      </c>
      <c r="K29" s="89">
        <f t="shared" si="8"/>
        <v>30743.17674</v>
      </c>
    </row>
    <row r="30">
      <c r="A30" s="27" t="s">
        <v>144</v>
      </c>
      <c r="B30" s="27" t="s">
        <v>145</v>
      </c>
      <c r="C30" s="167">
        <v>28.0</v>
      </c>
      <c r="D30" s="168">
        <f t="shared" si="1"/>
        <v>504</v>
      </c>
      <c r="E30" s="126">
        <f t="shared" si="5"/>
        <v>30582</v>
      </c>
      <c r="F30" s="169">
        <f t="shared" si="2"/>
        <v>453.711159</v>
      </c>
      <c r="G30" s="169">
        <f t="shared" si="6"/>
        <v>27530.54497</v>
      </c>
      <c r="H30" s="89">
        <f t="shared" si="3"/>
        <v>485.1748754</v>
      </c>
      <c r="I30" s="89">
        <f t="shared" si="7"/>
        <v>29439.71833</v>
      </c>
      <c r="J30" s="89">
        <f t="shared" si="4"/>
        <v>515.1459897</v>
      </c>
      <c r="K30" s="89">
        <f t="shared" si="8"/>
        <v>31258.32273</v>
      </c>
    </row>
    <row r="31">
      <c r="A31" s="27" t="s">
        <v>145</v>
      </c>
      <c r="B31" s="27" t="s">
        <v>146</v>
      </c>
      <c r="C31" s="167">
        <v>92.0</v>
      </c>
      <c r="D31" s="168">
        <f t="shared" si="1"/>
        <v>1656</v>
      </c>
      <c r="E31" s="126">
        <f t="shared" si="5"/>
        <v>32238</v>
      </c>
      <c r="F31" s="169">
        <f t="shared" si="2"/>
        <v>1490.765237</v>
      </c>
      <c r="G31" s="169">
        <f t="shared" si="6"/>
        <v>29021.31021</v>
      </c>
      <c r="H31" s="89">
        <f t="shared" si="3"/>
        <v>1594.146019</v>
      </c>
      <c r="I31" s="89">
        <f t="shared" si="7"/>
        <v>31033.86435</v>
      </c>
      <c r="J31" s="89">
        <f t="shared" si="4"/>
        <v>1692.622538</v>
      </c>
      <c r="K31" s="89">
        <f t="shared" si="8"/>
        <v>32950.94527</v>
      </c>
    </row>
    <row r="32">
      <c r="A32" s="27" t="s">
        <v>146</v>
      </c>
      <c r="B32" s="27" t="s">
        <v>147</v>
      </c>
      <c r="C32" s="167">
        <v>84.0</v>
      </c>
      <c r="D32" s="168">
        <f t="shared" si="1"/>
        <v>1512</v>
      </c>
      <c r="E32" s="126">
        <f t="shared" si="5"/>
        <v>33750</v>
      </c>
      <c r="F32" s="169">
        <f t="shared" si="2"/>
        <v>1361.133477</v>
      </c>
      <c r="G32" s="169">
        <f t="shared" si="6"/>
        <v>30382.44369</v>
      </c>
      <c r="H32" s="89">
        <f t="shared" si="3"/>
        <v>1455.524626</v>
      </c>
      <c r="I32" s="89">
        <f t="shared" si="7"/>
        <v>32489.38898</v>
      </c>
      <c r="J32" s="89">
        <f t="shared" si="4"/>
        <v>1545.437969</v>
      </c>
      <c r="K32" s="89">
        <f t="shared" si="8"/>
        <v>34496.38324</v>
      </c>
    </row>
    <row r="33">
      <c r="A33" s="27" t="s">
        <v>147</v>
      </c>
      <c r="B33" s="27" t="s">
        <v>148</v>
      </c>
      <c r="C33" s="167">
        <v>54.0</v>
      </c>
      <c r="D33" s="168">
        <f t="shared" si="1"/>
        <v>972</v>
      </c>
      <c r="E33" s="126">
        <f t="shared" si="5"/>
        <v>34722</v>
      </c>
      <c r="F33" s="169">
        <f t="shared" si="2"/>
        <v>875.0143781</v>
      </c>
      <c r="G33" s="169">
        <f t="shared" si="6"/>
        <v>31257.45806</v>
      </c>
      <c r="H33" s="89">
        <f t="shared" si="3"/>
        <v>935.6944025</v>
      </c>
      <c r="I33" s="89">
        <f t="shared" si="7"/>
        <v>33425.08338</v>
      </c>
      <c r="J33" s="89">
        <f t="shared" si="4"/>
        <v>993.4958373</v>
      </c>
      <c r="K33" s="89">
        <f t="shared" si="8"/>
        <v>35489.87908</v>
      </c>
    </row>
    <row r="34">
      <c r="A34" s="27" t="s">
        <v>148</v>
      </c>
      <c r="B34" s="27" t="s">
        <v>149</v>
      </c>
      <c r="C34" s="170">
        <v>74.0</v>
      </c>
      <c r="D34" s="171">
        <f t="shared" si="1"/>
        <v>1332</v>
      </c>
      <c r="E34" s="126">
        <f t="shared" si="5"/>
        <v>36054</v>
      </c>
      <c r="F34" s="169">
        <f t="shared" si="2"/>
        <v>1199.093777</v>
      </c>
      <c r="G34" s="169">
        <f t="shared" si="6"/>
        <v>32456.55184</v>
      </c>
      <c r="H34" s="89">
        <f t="shared" si="3"/>
        <v>1282.247885</v>
      </c>
      <c r="I34" s="89">
        <f t="shared" si="7"/>
        <v>34707.33126</v>
      </c>
      <c r="J34" s="89">
        <f t="shared" si="4"/>
        <v>1361.457259</v>
      </c>
      <c r="K34" s="89">
        <f t="shared" si="8"/>
        <v>36851.33633</v>
      </c>
    </row>
    <row r="35">
      <c r="A35" s="172" t="s">
        <v>282</v>
      </c>
      <c r="B35" s="43"/>
      <c r="C35" s="173">
        <f>IF(E35 &lt; 0, E35/'DATOS DE EQUIPOS'!U10, 0)</f>
        <v>0</v>
      </c>
      <c r="D35" s="174"/>
      <c r="E35" s="175">
        <f>'DATOS DE EQUIPOS'!B13-E34</f>
        <v>63946</v>
      </c>
      <c r="G35" s="176">
        <f>'DATOS DE EQUIPOS'!$B$13-G34</f>
        <v>67543.44816</v>
      </c>
      <c r="I35" s="177">
        <f>'DATOS DE EQUIPOS'!$B$13-I34</f>
        <v>65292.66874</v>
      </c>
      <c r="J35" s="16"/>
      <c r="K35" s="177">
        <f>'DATOS DE EQUIPOS'!$B$13-K34</f>
        <v>63148.66367</v>
      </c>
    </row>
    <row r="36">
      <c r="C36" s="178" t="s">
        <v>283</v>
      </c>
      <c r="E36" s="179" t="s">
        <v>284</v>
      </c>
      <c r="G36" s="179" t="s">
        <v>284</v>
      </c>
      <c r="I36" s="179" t="s">
        <v>284</v>
      </c>
      <c r="J36" s="16"/>
      <c r="K36" s="179" t="s">
        <v>284</v>
      </c>
    </row>
    <row r="37">
      <c r="C37" s="11"/>
    </row>
    <row r="40">
      <c r="I40" s="42" t="s">
        <v>285</v>
      </c>
      <c r="J40" s="85"/>
      <c r="K40" s="43"/>
    </row>
    <row r="41">
      <c r="E41" s="180" t="s">
        <v>286</v>
      </c>
      <c r="F41" s="181" t="s">
        <v>287</v>
      </c>
      <c r="G41" s="181" t="s">
        <v>288</v>
      </c>
    </row>
    <row r="42">
      <c r="E42" s="110" t="s">
        <v>289</v>
      </c>
      <c r="F42" s="110">
        <v>191.4</v>
      </c>
      <c r="G42" s="110">
        <v>1566.31</v>
      </c>
    </row>
    <row r="43">
      <c r="E43" s="110" t="s">
        <v>290</v>
      </c>
      <c r="F43" s="110">
        <v>191.5</v>
      </c>
      <c r="G43" s="110">
        <v>1565.5</v>
      </c>
    </row>
    <row r="44">
      <c r="E44" s="110" t="s">
        <v>291</v>
      </c>
      <c r="F44" s="110">
        <v>191.6</v>
      </c>
      <c r="G44" s="110">
        <v>1564.68</v>
      </c>
    </row>
    <row r="45">
      <c r="E45" s="110" t="s">
        <v>292</v>
      </c>
      <c r="F45" s="110">
        <v>191.7</v>
      </c>
      <c r="G45" s="110">
        <v>1563.86</v>
      </c>
    </row>
    <row r="46">
      <c r="E46" s="110" t="s">
        <v>293</v>
      </c>
      <c r="F46" s="110">
        <v>191.8</v>
      </c>
      <c r="G46" s="110">
        <v>1563.05</v>
      </c>
    </row>
    <row r="47">
      <c r="E47" s="110" t="s">
        <v>294</v>
      </c>
      <c r="F47" s="110">
        <v>191.9</v>
      </c>
      <c r="G47" s="110">
        <v>1562.23</v>
      </c>
    </row>
    <row r="48">
      <c r="E48" s="110" t="s">
        <v>295</v>
      </c>
      <c r="F48" s="110">
        <v>192.0</v>
      </c>
      <c r="G48" s="110">
        <v>1561.42</v>
      </c>
    </row>
    <row r="49">
      <c r="E49" s="110" t="s">
        <v>296</v>
      </c>
      <c r="F49" s="110">
        <v>192.1</v>
      </c>
      <c r="G49" s="110">
        <v>1560.61</v>
      </c>
    </row>
    <row r="50">
      <c r="E50" s="110" t="s">
        <v>297</v>
      </c>
      <c r="F50" s="110">
        <v>192.2</v>
      </c>
      <c r="G50" s="110">
        <v>1559.79</v>
      </c>
    </row>
    <row r="51">
      <c r="E51" s="110" t="s">
        <v>298</v>
      </c>
      <c r="F51" s="110">
        <v>192.3</v>
      </c>
      <c r="G51" s="110">
        <v>1558.98</v>
      </c>
    </row>
    <row r="52">
      <c r="E52" s="110" t="s">
        <v>299</v>
      </c>
      <c r="F52" s="110">
        <v>192.4</v>
      </c>
      <c r="G52" s="110">
        <v>1558.17</v>
      </c>
    </row>
    <row r="53">
      <c r="E53" s="110" t="s">
        <v>300</v>
      </c>
      <c r="F53" s="110">
        <v>192.5</v>
      </c>
      <c r="G53" s="110">
        <v>1557.36</v>
      </c>
    </row>
    <row r="54">
      <c r="E54" s="110" t="s">
        <v>301</v>
      </c>
      <c r="F54" s="110">
        <v>192.6</v>
      </c>
      <c r="G54" s="110">
        <v>1556.55</v>
      </c>
    </row>
    <row r="55">
      <c r="E55" s="110" t="s">
        <v>302</v>
      </c>
      <c r="F55" s="110">
        <v>192.7</v>
      </c>
      <c r="G55" s="110">
        <v>1555.75</v>
      </c>
    </row>
    <row r="56">
      <c r="E56" s="110" t="s">
        <v>303</v>
      </c>
      <c r="F56" s="110">
        <v>192.8</v>
      </c>
      <c r="G56" s="110">
        <v>1554.94</v>
      </c>
    </row>
    <row r="57">
      <c r="E57" s="110" t="s">
        <v>304</v>
      </c>
      <c r="F57" s="110">
        <v>192.9</v>
      </c>
      <c r="G57" s="110">
        <v>1554.13</v>
      </c>
    </row>
    <row r="58">
      <c r="E58" s="110" t="s">
        <v>305</v>
      </c>
      <c r="F58" s="110">
        <v>193.0</v>
      </c>
      <c r="G58" s="110">
        <v>1553.33</v>
      </c>
    </row>
    <row r="59">
      <c r="E59" s="110" t="s">
        <v>306</v>
      </c>
      <c r="F59" s="110">
        <v>193.1</v>
      </c>
      <c r="G59" s="110">
        <v>1552.52</v>
      </c>
    </row>
    <row r="60">
      <c r="E60" s="110" t="s">
        <v>307</v>
      </c>
      <c r="F60" s="110">
        <v>193.2</v>
      </c>
      <c r="G60" s="110">
        <v>1551.72</v>
      </c>
    </row>
    <row r="61">
      <c r="E61" s="110" t="s">
        <v>308</v>
      </c>
      <c r="F61" s="110">
        <v>193.3</v>
      </c>
      <c r="G61" s="110">
        <v>1550.92</v>
      </c>
    </row>
    <row r="62">
      <c r="E62" s="110" t="s">
        <v>309</v>
      </c>
      <c r="F62" s="110">
        <v>193.4</v>
      </c>
      <c r="G62" s="110">
        <v>1550.12</v>
      </c>
    </row>
    <row r="63">
      <c r="E63" s="110" t="s">
        <v>310</v>
      </c>
      <c r="F63" s="110">
        <v>193.5</v>
      </c>
      <c r="G63" s="110">
        <v>1549.32</v>
      </c>
    </row>
    <row r="64">
      <c r="E64" s="110" t="s">
        <v>311</v>
      </c>
      <c r="F64" s="110">
        <v>193.6</v>
      </c>
      <c r="G64" s="110">
        <v>1548.51</v>
      </c>
    </row>
    <row r="65">
      <c r="E65" s="110" t="s">
        <v>312</v>
      </c>
      <c r="F65" s="110">
        <v>193.7</v>
      </c>
      <c r="G65" s="110">
        <v>1547.72</v>
      </c>
    </row>
    <row r="66">
      <c r="E66" s="110" t="s">
        <v>313</v>
      </c>
      <c r="F66" s="110">
        <v>193.8</v>
      </c>
      <c r="G66" s="110">
        <v>1546.92</v>
      </c>
    </row>
    <row r="67">
      <c r="E67" s="110" t="s">
        <v>314</v>
      </c>
      <c r="F67" s="110">
        <v>193.9</v>
      </c>
      <c r="G67" s="110">
        <v>1546.12</v>
      </c>
    </row>
    <row r="68">
      <c r="E68" s="110" t="s">
        <v>315</v>
      </c>
      <c r="F68" s="110">
        <v>194.0</v>
      </c>
      <c r="G68" s="110">
        <v>1545.32</v>
      </c>
    </row>
    <row r="69">
      <c r="E69" s="110" t="s">
        <v>316</v>
      </c>
      <c r="F69" s="110">
        <v>194.1</v>
      </c>
      <c r="G69" s="110">
        <v>1544.53</v>
      </c>
    </row>
    <row r="70">
      <c r="E70" s="110" t="s">
        <v>317</v>
      </c>
      <c r="F70" s="110">
        <v>194.2</v>
      </c>
      <c r="G70" s="110">
        <v>1543.73</v>
      </c>
    </row>
    <row r="71">
      <c r="E71" s="110" t="s">
        <v>318</v>
      </c>
      <c r="F71" s="110">
        <v>194.3</v>
      </c>
      <c r="G71" s="110">
        <v>1542.94</v>
      </c>
    </row>
    <row r="72">
      <c r="E72" s="110" t="s">
        <v>319</v>
      </c>
      <c r="F72" s="110">
        <v>194.4</v>
      </c>
      <c r="G72" s="110">
        <v>1542.14</v>
      </c>
    </row>
    <row r="73">
      <c r="E73" s="110" t="s">
        <v>320</v>
      </c>
      <c r="F73" s="110">
        <v>194.5</v>
      </c>
      <c r="G73" s="110">
        <v>1541.35</v>
      </c>
    </row>
    <row r="74">
      <c r="E74" s="110" t="s">
        <v>321</v>
      </c>
      <c r="F74" s="110">
        <v>194.6</v>
      </c>
      <c r="G74" s="110">
        <v>1540.56</v>
      </c>
    </row>
    <row r="75">
      <c r="E75" s="110" t="s">
        <v>322</v>
      </c>
      <c r="F75" s="110">
        <v>194.7</v>
      </c>
      <c r="G75" s="110">
        <v>1539.77</v>
      </c>
    </row>
    <row r="76">
      <c r="E76" s="110" t="s">
        <v>323</v>
      </c>
      <c r="F76" s="110">
        <v>194.8</v>
      </c>
      <c r="G76" s="110">
        <v>1538.98</v>
      </c>
    </row>
    <row r="77">
      <c r="E77" s="110" t="s">
        <v>324</v>
      </c>
      <c r="F77" s="110">
        <v>194.9</v>
      </c>
      <c r="G77" s="110">
        <v>1538.19</v>
      </c>
    </row>
    <row r="78">
      <c r="E78" s="110" t="s">
        <v>325</v>
      </c>
      <c r="F78" s="110">
        <v>195.0</v>
      </c>
      <c r="G78" s="110">
        <v>1537.4</v>
      </c>
    </row>
    <row r="79">
      <c r="E79" s="110" t="s">
        <v>326</v>
      </c>
      <c r="F79" s="110">
        <v>195.1</v>
      </c>
      <c r="G79" s="110">
        <v>1536.61</v>
      </c>
    </row>
    <row r="80">
      <c r="E80" s="110" t="s">
        <v>327</v>
      </c>
      <c r="F80" s="110">
        <v>195.2</v>
      </c>
      <c r="G80" s="110">
        <v>1535.82</v>
      </c>
    </row>
    <row r="81">
      <c r="E81" s="110" t="s">
        <v>328</v>
      </c>
      <c r="F81" s="110">
        <v>195.3</v>
      </c>
      <c r="G81" s="110">
        <v>1535.04</v>
      </c>
    </row>
    <row r="82">
      <c r="E82" s="110" t="s">
        <v>329</v>
      </c>
      <c r="F82" s="110">
        <v>195.4</v>
      </c>
      <c r="G82" s="110">
        <v>1534.25</v>
      </c>
    </row>
    <row r="83">
      <c r="E83" s="110" t="s">
        <v>330</v>
      </c>
      <c r="F83" s="110">
        <v>195.5</v>
      </c>
      <c r="G83" s="110">
        <v>1533.47</v>
      </c>
    </row>
    <row r="84">
      <c r="E84" s="110" t="s">
        <v>331</v>
      </c>
      <c r="F84" s="110">
        <v>195.6</v>
      </c>
      <c r="G84" s="110">
        <v>1532.68</v>
      </c>
    </row>
    <row r="85">
      <c r="E85" s="110" t="s">
        <v>332</v>
      </c>
      <c r="F85" s="110">
        <v>195.7</v>
      </c>
      <c r="G85" s="110">
        <v>1531.9</v>
      </c>
    </row>
    <row r="86">
      <c r="E86" s="110" t="s">
        <v>333</v>
      </c>
      <c r="F86" s="110">
        <v>195.8</v>
      </c>
      <c r="G86" s="110">
        <v>1531.12</v>
      </c>
    </row>
    <row r="87">
      <c r="E87" s="110" t="s">
        <v>334</v>
      </c>
      <c r="F87" s="110">
        <v>195.9</v>
      </c>
      <c r="G87" s="110">
        <v>1530.33</v>
      </c>
    </row>
    <row r="88">
      <c r="E88" s="110" t="s">
        <v>335</v>
      </c>
      <c r="F88" s="110">
        <v>196.0</v>
      </c>
      <c r="G88" s="110">
        <v>1529.55</v>
      </c>
    </row>
    <row r="89">
      <c r="E89" s="110" t="s">
        <v>336</v>
      </c>
      <c r="F89" s="110">
        <v>196.1</v>
      </c>
      <c r="G89" s="110">
        <v>1528.77</v>
      </c>
    </row>
  </sheetData>
  <mergeCells count="9">
    <mergeCell ref="C36:C37"/>
    <mergeCell ref="I40:K40"/>
    <mergeCell ref="A1:C4"/>
    <mergeCell ref="D1:K2"/>
    <mergeCell ref="D3:E3"/>
    <mergeCell ref="F3:G3"/>
    <mergeCell ref="H3:I3"/>
    <mergeCell ref="J3:K3"/>
    <mergeCell ref="A35:B35"/>
  </mergeCells>
  <hyperlinks>
    <hyperlink r:id="rId1" ref="E4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3.0"/>
    <col customWidth="1" min="2" max="2" width="24.13"/>
    <col customWidth="1" min="3" max="3" width="17.38"/>
    <col customWidth="1" min="4" max="4" width="28.13"/>
  </cols>
  <sheetData>
    <row r="1">
      <c r="A1" s="182" t="s">
        <v>337</v>
      </c>
      <c r="B1" s="85"/>
      <c r="C1" s="85"/>
      <c r="D1" s="43"/>
    </row>
    <row r="2">
      <c r="A2" s="183" t="s">
        <v>279</v>
      </c>
      <c r="B2" s="145" t="s">
        <v>112</v>
      </c>
      <c r="C2" s="183" t="s">
        <v>113</v>
      </c>
      <c r="D2" s="184" t="s">
        <v>338</v>
      </c>
    </row>
    <row r="3">
      <c r="A3" s="24" t="s">
        <v>116</v>
      </c>
      <c r="B3" s="24" t="s">
        <v>117</v>
      </c>
      <c r="C3" s="24">
        <v>87.0</v>
      </c>
      <c r="D3" s="126">
        <f>SQRT(C3)*'DATOS DE EQUIPOS'!$N$15</f>
        <v>0.9327379053</v>
      </c>
    </row>
    <row r="4">
      <c r="A4" s="24" t="s">
        <v>117</v>
      </c>
      <c r="B4" s="24" t="s">
        <v>119</v>
      </c>
      <c r="C4" s="24">
        <v>75.0</v>
      </c>
      <c r="D4" s="126">
        <f>SQRT(C4)*'DATOS DE EQUIPOS'!$N$15</f>
        <v>0.8660254038</v>
      </c>
    </row>
    <row r="5">
      <c r="A5" s="24" t="s">
        <v>119</v>
      </c>
      <c r="B5" s="24" t="s">
        <v>121</v>
      </c>
      <c r="C5" s="24">
        <v>78.0</v>
      </c>
      <c r="D5" s="126">
        <f>SQRT(C5)*'DATOS DE EQUIPOS'!$N$15</f>
        <v>0.8831760866</v>
      </c>
    </row>
    <row r="6">
      <c r="A6" s="24" t="s">
        <v>121</v>
      </c>
      <c r="B6" s="24" t="s">
        <v>123</v>
      </c>
      <c r="C6" s="24">
        <v>34.0</v>
      </c>
      <c r="D6" s="126">
        <f>SQRT(C6)*'DATOS DE EQUIPOS'!$N$15</f>
        <v>0.5830951895</v>
      </c>
    </row>
    <row r="7">
      <c r="A7" s="24" t="s">
        <v>123</v>
      </c>
      <c r="B7" s="24" t="s">
        <v>124</v>
      </c>
      <c r="C7" s="24">
        <v>90.0</v>
      </c>
      <c r="D7" s="126">
        <f>SQRT(C7)*'DATOS DE EQUIPOS'!$N$15</f>
        <v>0.9486832981</v>
      </c>
    </row>
    <row r="8">
      <c r="A8" s="24" t="s">
        <v>124</v>
      </c>
      <c r="B8" s="24" t="s">
        <v>125</v>
      </c>
      <c r="C8" s="24">
        <v>74.0</v>
      </c>
      <c r="D8" s="126">
        <f>SQRT(C8)*'DATOS DE EQUIPOS'!$N$15</f>
        <v>0.8602325267</v>
      </c>
    </row>
    <row r="9">
      <c r="A9" s="24" t="s">
        <v>125</v>
      </c>
      <c r="B9" s="27" t="s">
        <v>126</v>
      </c>
      <c r="C9" s="28">
        <v>67.0</v>
      </c>
      <c r="D9" s="126">
        <f>SQRT(C9)*'DATOS DE EQUIPOS'!$N$15</f>
        <v>0.8185352772</v>
      </c>
    </row>
    <row r="10">
      <c r="A10" s="27" t="s">
        <v>126</v>
      </c>
      <c r="B10" s="27" t="s">
        <v>127</v>
      </c>
      <c r="C10" s="28">
        <v>66.0</v>
      </c>
      <c r="D10" s="126">
        <f>SQRT(C10)*'DATOS DE EQUIPOS'!$N$15</f>
        <v>0.8124038405</v>
      </c>
    </row>
    <row r="11">
      <c r="A11" s="27" t="s">
        <v>127</v>
      </c>
      <c r="B11" s="27" t="s">
        <v>128</v>
      </c>
      <c r="C11" s="28">
        <v>81.0</v>
      </c>
      <c r="D11" s="126">
        <f>SQRT(C11)*'DATOS DE EQUIPOS'!$N$15</f>
        <v>0.9</v>
      </c>
    </row>
    <row r="12">
      <c r="A12" s="24" t="s">
        <v>128</v>
      </c>
      <c r="B12" s="27" t="s">
        <v>129</v>
      </c>
      <c r="C12" s="28">
        <v>25.0</v>
      </c>
      <c r="D12" s="126">
        <f>SQRT(C12)*'DATOS DE EQUIPOS'!$N$15</f>
        <v>0.5</v>
      </c>
    </row>
    <row r="13">
      <c r="A13" s="27" t="s">
        <v>129</v>
      </c>
      <c r="B13" s="27" t="s">
        <v>131</v>
      </c>
      <c r="C13" s="28">
        <v>84.0</v>
      </c>
      <c r="D13" s="126">
        <f>SQRT(C13)*'DATOS DE EQUIPOS'!$N$15</f>
        <v>0.916515139</v>
      </c>
    </row>
    <row r="14">
      <c r="A14" s="27" t="s">
        <v>131</v>
      </c>
      <c r="B14" s="27" t="s">
        <v>132</v>
      </c>
      <c r="C14" s="28">
        <v>19.0</v>
      </c>
      <c r="D14" s="126">
        <f>SQRT(C14)*'DATOS DE EQUIPOS'!$N$15</f>
        <v>0.4358898944</v>
      </c>
    </row>
    <row r="15">
      <c r="A15" s="27" t="s">
        <v>132</v>
      </c>
      <c r="B15" s="27" t="s">
        <v>133</v>
      </c>
      <c r="C15" s="28">
        <v>60.0</v>
      </c>
      <c r="D15" s="126">
        <f>SQRT(C15)*'DATOS DE EQUIPOS'!$N$15</f>
        <v>0.7745966692</v>
      </c>
    </row>
    <row r="16">
      <c r="A16" s="27" t="s">
        <v>133</v>
      </c>
      <c r="B16" s="27" t="s">
        <v>134</v>
      </c>
      <c r="C16" s="28">
        <v>102.0</v>
      </c>
      <c r="D16" s="126">
        <f>SQRT(C16)*'DATOS DE EQUIPOS'!$N$15</f>
        <v>1.009950494</v>
      </c>
    </row>
    <row r="17">
      <c r="A17" s="27" t="s">
        <v>134</v>
      </c>
      <c r="B17" s="27" t="s">
        <v>135</v>
      </c>
      <c r="C17" s="28">
        <v>110.0</v>
      </c>
      <c r="D17" s="126">
        <f>SQRT(C17)*'DATOS DE EQUIPOS'!$N$15</f>
        <v>1.048808848</v>
      </c>
    </row>
    <row r="18">
      <c r="A18" s="27" t="s">
        <v>135</v>
      </c>
      <c r="B18" s="27" t="s">
        <v>136</v>
      </c>
      <c r="C18" s="28">
        <v>85.0</v>
      </c>
      <c r="D18" s="126">
        <f>SQRT(C18)*'DATOS DE EQUIPOS'!$N$15</f>
        <v>0.9219544457</v>
      </c>
    </row>
    <row r="19">
      <c r="A19" s="27" t="s">
        <v>136</v>
      </c>
      <c r="B19" s="27" t="s">
        <v>137</v>
      </c>
      <c r="C19" s="28">
        <v>22.0</v>
      </c>
      <c r="D19" s="126">
        <f>SQRT(C19)*'DATOS DE EQUIPOS'!$N$15</f>
        <v>0.469041576</v>
      </c>
    </row>
    <row r="20">
      <c r="A20" s="27" t="s">
        <v>137</v>
      </c>
      <c r="B20" s="27" t="s">
        <v>138</v>
      </c>
      <c r="C20" s="28">
        <v>69.0</v>
      </c>
      <c r="D20" s="126">
        <f>SQRT(C20)*'DATOS DE EQUIPOS'!$N$15</f>
        <v>0.8306623863</v>
      </c>
    </row>
    <row r="21">
      <c r="A21" s="27" t="s">
        <v>138</v>
      </c>
      <c r="B21" s="27" t="s">
        <v>139</v>
      </c>
      <c r="C21" s="28">
        <v>100.0</v>
      </c>
      <c r="D21" s="126">
        <f>SQRT(C21)*'DATOS DE EQUIPOS'!$N$15</f>
        <v>1</v>
      </c>
    </row>
    <row r="22">
      <c r="A22" s="27" t="s">
        <v>139</v>
      </c>
      <c r="B22" s="27" t="s">
        <v>140</v>
      </c>
      <c r="C22" s="28">
        <v>49.0</v>
      </c>
      <c r="D22" s="126">
        <f>SQRT(C22)*'DATOS DE EQUIPOS'!$N$15</f>
        <v>0.7</v>
      </c>
    </row>
    <row r="23">
      <c r="A23" s="27" t="s">
        <v>140</v>
      </c>
      <c r="B23" s="27" t="s">
        <v>141</v>
      </c>
      <c r="C23" s="28">
        <v>110.0</v>
      </c>
      <c r="D23" s="126">
        <f>SQRT(C23)*'DATOS DE EQUIPOS'!$N$15</f>
        <v>1.048808848</v>
      </c>
    </row>
    <row r="24">
      <c r="A24" s="27" t="s">
        <v>141</v>
      </c>
      <c r="B24" s="27" t="s">
        <v>142</v>
      </c>
      <c r="C24" s="28">
        <v>18.0</v>
      </c>
      <c r="D24" s="126">
        <f>SQRT(C24)*'DATOS DE EQUIPOS'!$N$15</f>
        <v>0.4242640687</v>
      </c>
    </row>
    <row r="25">
      <c r="A25" s="27" t="s">
        <v>142</v>
      </c>
      <c r="B25" s="27" t="s">
        <v>143</v>
      </c>
      <c r="C25" s="28">
        <v>75.0</v>
      </c>
      <c r="D25" s="126">
        <f>SQRT(C25)*'DATOS DE EQUIPOS'!$N$15</f>
        <v>0.8660254038</v>
      </c>
    </row>
    <row r="26">
      <c r="A26" s="27" t="s">
        <v>143</v>
      </c>
      <c r="B26" s="27" t="s">
        <v>144</v>
      </c>
      <c r="C26" s="28">
        <v>91.0</v>
      </c>
      <c r="D26" s="126">
        <f>SQRT(C26)*'DATOS DE EQUIPOS'!$N$15</f>
        <v>0.9539392014</v>
      </c>
    </row>
    <row r="27">
      <c r="A27" s="27" t="s">
        <v>144</v>
      </c>
      <c r="B27" s="27" t="s">
        <v>145</v>
      </c>
      <c r="C27" s="28">
        <v>28.0</v>
      </c>
      <c r="D27" s="126">
        <f>SQRT(C27)*'DATOS DE EQUIPOS'!$N$15</f>
        <v>0.5291502622</v>
      </c>
    </row>
    <row r="28">
      <c r="A28" s="27" t="s">
        <v>145</v>
      </c>
      <c r="B28" s="27" t="s">
        <v>146</v>
      </c>
      <c r="C28" s="28">
        <v>92.0</v>
      </c>
      <c r="D28" s="126">
        <f>SQRT(C28)*'DATOS DE EQUIPOS'!$N$15</f>
        <v>0.9591663047</v>
      </c>
    </row>
    <row r="29">
      <c r="A29" s="27" t="s">
        <v>146</v>
      </c>
      <c r="B29" s="27" t="s">
        <v>147</v>
      </c>
      <c r="C29" s="28">
        <v>84.0</v>
      </c>
      <c r="D29" s="126">
        <f>SQRT(C29)*'DATOS DE EQUIPOS'!$N$15</f>
        <v>0.916515139</v>
      </c>
    </row>
    <row r="30">
      <c r="A30" s="27" t="s">
        <v>147</v>
      </c>
      <c r="B30" s="27" t="s">
        <v>148</v>
      </c>
      <c r="C30" s="28">
        <v>54.0</v>
      </c>
      <c r="D30" s="126">
        <f>SQRT(C30)*'DATOS DE EQUIPOS'!$N$15</f>
        <v>0.7348469228</v>
      </c>
    </row>
    <row r="31">
      <c r="A31" s="27" t="s">
        <v>148</v>
      </c>
      <c r="B31" s="27" t="s">
        <v>149</v>
      </c>
      <c r="C31" s="185">
        <v>74.0</v>
      </c>
      <c r="D31" s="126">
        <f>SQRT(C31)*'DATOS DE EQUIPOS'!$N$15</f>
        <v>0.8602325267</v>
      </c>
    </row>
    <row r="32">
      <c r="A32" s="138" t="s">
        <v>339</v>
      </c>
      <c r="B32" s="85"/>
      <c r="C32" s="43"/>
      <c r="D32" s="186">
        <f>SQRT(SUMSQ(D3:D31))</f>
        <v>4.4754888</v>
      </c>
    </row>
  </sheetData>
  <mergeCells count="2">
    <mergeCell ref="A1:D1"/>
    <mergeCell ref="A32:C3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5.13"/>
    <col customWidth="1" min="3" max="3" width="17.63"/>
    <col customWidth="1" min="4" max="4" width="20.38"/>
    <col customWidth="1" min="9" max="9" width="16.63"/>
    <col customWidth="1" min="10" max="10" width="17.38"/>
    <col customWidth="1" min="11" max="11" width="21.13"/>
    <col customWidth="1" min="13" max="13" width="15.0"/>
    <col customWidth="1" min="14" max="14" width="21.13"/>
    <col customWidth="1" min="16" max="16" width="15.75"/>
    <col customWidth="1" min="17" max="17" width="17.63"/>
    <col customWidth="1" min="18" max="18" width="21.63"/>
    <col customWidth="1" min="19" max="19" width="18.13"/>
    <col customWidth="1" min="20" max="21" width="16.88"/>
    <col customWidth="1" min="25" max="25" width="18.0"/>
    <col customWidth="1" min="26" max="26" width="22.75"/>
    <col customWidth="1" min="28" max="28" width="16.25"/>
    <col customWidth="1" min="29" max="29" width="21.0"/>
    <col customWidth="1" min="33" max="33" width="17.0"/>
    <col customWidth="1" min="34" max="34" width="22.38"/>
    <col customWidth="1" min="35" max="35" width="16.63"/>
    <col customWidth="1" min="36" max="36" width="17.75"/>
    <col customWidth="1" min="37" max="38" width="15.75"/>
  </cols>
  <sheetData>
    <row r="1">
      <c r="B1" s="187" t="s">
        <v>340</v>
      </c>
      <c r="C1" s="85"/>
      <c r="D1" s="85"/>
      <c r="E1" s="85"/>
      <c r="F1" s="85"/>
      <c r="G1" s="43"/>
      <c r="I1" s="188" t="s">
        <v>341</v>
      </c>
      <c r="J1" s="85"/>
      <c r="K1" s="85"/>
      <c r="L1" s="85"/>
      <c r="M1" s="85"/>
      <c r="N1" s="43"/>
      <c r="P1" s="188" t="s">
        <v>342</v>
      </c>
      <c r="Q1" s="85"/>
      <c r="R1" s="85"/>
      <c r="S1" s="85"/>
      <c r="T1" s="85"/>
      <c r="U1" s="43"/>
      <c r="X1" s="189" t="s">
        <v>343</v>
      </c>
      <c r="AF1" s="189" t="s">
        <v>344</v>
      </c>
      <c r="AL1" s="190"/>
    </row>
    <row r="2">
      <c r="B2" s="180" t="s">
        <v>286</v>
      </c>
      <c r="C2" s="181" t="s">
        <v>287</v>
      </c>
      <c r="D2" s="181" t="s">
        <v>288</v>
      </c>
      <c r="E2" s="191" t="s">
        <v>345</v>
      </c>
      <c r="F2" s="191" t="s">
        <v>346</v>
      </c>
      <c r="G2" s="191" t="s">
        <v>347</v>
      </c>
      <c r="I2" s="180" t="s">
        <v>286</v>
      </c>
      <c r="J2" s="181" t="s">
        <v>287</v>
      </c>
      <c r="K2" s="181" t="s">
        <v>288</v>
      </c>
      <c r="L2" s="191" t="s">
        <v>348</v>
      </c>
      <c r="M2" s="191" t="s">
        <v>349</v>
      </c>
      <c r="N2" s="191" t="s">
        <v>350</v>
      </c>
      <c r="P2" s="180" t="s">
        <v>286</v>
      </c>
      <c r="Q2" s="181" t="s">
        <v>287</v>
      </c>
      <c r="R2" s="181" t="s">
        <v>288</v>
      </c>
      <c r="S2" s="191" t="s">
        <v>351</v>
      </c>
      <c r="T2" s="191" t="s">
        <v>352</v>
      </c>
      <c r="U2" s="191" t="s">
        <v>353</v>
      </c>
      <c r="X2" s="180" t="s">
        <v>286</v>
      </c>
      <c r="Y2" s="181" t="s">
        <v>287</v>
      </c>
      <c r="Z2" s="181" t="s">
        <v>288</v>
      </c>
      <c r="AA2" s="191" t="s">
        <v>354</v>
      </c>
      <c r="AB2" s="191" t="s">
        <v>355</v>
      </c>
      <c r="AC2" s="191" t="s">
        <v>356</v>
      </c>
      <c r="AF2" s="180" t="s">
        <v>286</v>
      </c>
      <c r="AG2" s="181" t="s">
        <v>287</v>
      </c>
      <c r="AH2" s="181" t="s">
        <v>288</v>
      </c>
      <c r="AI2" s="191" t="s">
        <v>357</v>
      </c>
      <c r="AJ2" s="192" t="s">
        <v>358</v>
      </c>
      <c r="AK2" s="192" t="s">
        <v>359</v>
      </c>
      <c r="AL2" s="193"/>
    </row>
    <row r="3">
      <c r="B3" s="194" t="s">
        <v>289</v>
      </c>
      <c r="C3" s="194">
        <v>191.4</v>
      </c>
      <c r="D3" s="194">
        <v>1566.31</v>
      </c>
      <c r="E3" s="195"/>
      <c r="F3" s="195"/>
      <c r="G3" s="195"/>
      <c r="I3" s="194" t="s">
        <v>289</v>
      </c>
      <c r="J3" s="194">
        <v>191.4</v>
      </c>
      <c r="K3" s="194">
        <v>1566.31</v>
      </c>
      <c r="L3" s="195"/>
      <c r="M3" s="195"/>
      <c r="N3" s="195"/>
      <c r="P3" s="194" t="s">
        <v>289</v>
      </c>
      <c r="Q3" s="194">
        <v>191.4</v>
      </c>
      <c r="R3" s="194">
        <v>1566.31</v>
      </c>
      <c r="S3" s="195"/>
      <c r="T3" s="195"/>
      <c r="U3" s="195"/>
      <c r="X3" s="194" t="s">
        <v>289</v>
      </c>
      <c r="Y3" s="194">
        <v>191.4</v>
      </c>
      <c r="Z3" s="194">
        <v>1566.31</v>
      </c>
      <c r="AA3" s="195"/>
      <c r="AB3" s="195"/>
      <c r="AC3" s="195"/>
      <c r="AF3" s="194" t="s">
        <v>289</v>
      </c>
      <c r="AG3" s="194">
        <v>191.4</v>
      </c>
      <c r="AH3" s="194">
        <v>1566.31</v>
      </c>
      <c r="AI3" s="195"/>
      <c r="AJ3" s="196"/>
      <c r="AK3" s="195"/>
      <c r="AL3" s="197"/>
    </row>
    <row r="4">
      <c r="B4" s="194" t="s">
        <v>290</v>
      </c>
      <c r="C4" s="194">
        <v>191.5</v>
      </c>
      <c r="D4" s="194">
        <v>1565.5</v>
      </c>
      <c r="E4" s="195"/>
      <c r="F4" s="195"/>
      <c r="G4" s="195"/>
      <c r="I4" s="194" t="s">
        <v>290</v>
      </c>
      <c r="J4" s="194">
        <v>191.5</v>
      </c>
      <c r="K4" s="194">
        <v>1565.5</v>
      </c>
      <c r="L4" s="195"/>
      <c r="M4" s="195"/>
      <c r="N4" s="195"/>
      <c r="P4" s="194" t="s">
        <v>290</v>
      </c>
      <c r="Q4" s="194">
        <v>191.5</v>
      </c>
      <c r="R4" s="194">
        <v>1565.5</v>
      </c>
      <c r="S4" s="195"/>
      <c r="T4" s="195"/>
      <c r="U4" s="195"/>
      <c r="X4" s="194" t="s">
        <v>290</v>
      </c>
      <c r="Y4" s="194">
        <v>191.5</v>
      </c>
      <c r="Z4" s="194">
        <v>1565.5</v>
      </c>
      <c r="AA4" s="195"/>
      <c r="AB4" s="195"/>
      <c r="AC4" s="195"/>
      <c r="AF4" s="194" t="s">
        <v>290</v>
      </c>
      <c r="AG4" s="194">
        <v>191.5</v>
      </c>
      <c r="AH4" s="194">
        <v>1565.5</v>
      </c>
      <c r="AI4" s="195"/>
      <c r="AJ4" s="196"/>
      <c r="AK4" s="195"/>
      <c r="AL4" s="197"/>
    </row>
    <row r="5">
      <c r="B5" s="194" t="s">
        <v>291</v>
      </c>
      <c r="C5" s="194">
        <v>191.6</v>
      </c>
      <c r="D5" s="194">
        <v>1564.68</v>
      </c>
      <c r="E5" s="195"/>
      <c r="F5" s="195"/>
      <c r="G5" s="195"/>
      <c r="I5" s="194" t="s">
        <v>291</v>
      </c>
      <c r="J5" s="194">
        <v>191.6</v>
      </c>
      <c r="K5" s="194">
        <v>1564.68</v>
      </c>
      <c r="L5" s="195"/>
      <c r="M5" s="195"/>
      <c r="N5" s="195"/>
      <c r="P5" s="194" t="s">
        <v>291</v>
      </c>
      <c r="Q5" s="194">
        <v>191.6</v>
      </c>
      <c r="R5" s="194">
        <v>1564.68</v>
      </c>
      <c r="S5" s="195"/>
      <c r="T5" s="195"/>
      <c r="U5" s="195"/>
      <c r="X5" s="194" t="s">
        <v>291</v>
      </c>
      <c r="Y5" s="194">
        <v>191.6</v>
      </c>
      <c r="Z5" s="194">
        <v>1564.68</v>
      </c>
      <c r="AA5" s="195"/>
      <c r="AB5" s="195"/>
      <c r="AC5" s="195"/>
      <c r="AF5" s="194" t="s">
        <v>291</v>
      </c>
      <c r="AG5" s="194">
        <v>191.6</v>
      </c>
      <c r="AH5" s="194">
        <v>1564.68</v>
      </c>
      <c r="AI5" s="195"/>
      <c r="AJ5" s="196"/>
      <c r="AK5" s="195"/>
      <c r="AL5" s="197"/>
    </row>
    <row r="6">
      <c r="B6" s="194" t="s">
        <v>292</v>
      </c>
      <c r="C6" s="194">
        <v>191.7</v>
      </c>
      <c r="D6" s="194">
        <v>1563.86</v>
      </c>
      <c r="E6" s="195"/>
      <c r="F6" s="195"/>
      <c r="G6" s="195"/>
      <c r="I6" s="194" t="s">
        <v>292</v>
      </c>
      <c r="J6" s="194">
        <v>191.7</v>
      </c>
      <c r="K6" s="194">
        <v>1563.86</v>
      </c>
      <c r="L6" s="195"/>
      <c r="M6" s="195"/>
      <c r="N6" s="195"/>
      <c r="P6" s="194" t="s">
        <v>292</v>
      </c>
      <c r="Q6" s="194">
        <v>191.7</v>
      </c>
      <c r="R6" s="194">
        <v>1563.86</v>
      </c>
      <c r="S6" s="195"/>
      <c r="T6" s="195"/>
      <c r="U6" s="195"/>
      <c r="X6" s="194" t="s">
        <v>292</v>
      </c>
      <c r="Y6" s="194">
        <v>191.7</v>
      </c>
      <c r="Z6" s="194">
        <v>1563.86</v>
      </c>
      <c r="AA6" s="195"/>
      <c r="AB6" s="195"/>
      <c r="AC6" s="195"/>
      <c r="AF6" s="194" t="s">
        <v>292</v>
      </c>
      <c r="AG6" s="194">
        <v>191.7</v>
      </c>
      <c r="AH6" s="194">
        <v>1563.86</v>
      </c>
      <c r="AI6" s="195"/>
      <c r="AJ6" s="196"/>
      <c r="AK6" s="195"/>
      <c r="AL6" s="197"/>
    </row>
    <row r="7">
      <c r="B7" s="194" t="s">
        <v>293</v>
      </c>
      <c r="C7" s="194">
        <v>191.8</v>
      </c>
      <c r="D7" s="194">
        <v>1563.05</v>
      </c>
      <c r="E7" s="195"/>
      <c r="F7" s="195"/>
      <c r="G7" s="195"/>
      <c r="I7" s="194" t="s">
        <v>293</v>
      </c>
      <c r="J7" s="194">
        <v>191.8</v>
      </c>
      <c r="K7" s="194">
        <v>1563.05</v>
      </c>
      <c r="L7" s="195"/>
      <c r="M7" s="195"/>
      <c r="N7" s="195"/>
      <c r="P7" s="194" t="s">
        <v>293</v>
      </c>
      <c r="Q7" s="194">
        <v>191.8</v>
      </c>
      <c r="R7" s="194">
        <v>1563.05</v>
      </c>
      <c r="S7" s="195"/>
      <c r="T7" s="195"/>
      <c r="U7" s="195"/>
      <c r="X7" s="194" t="s">
        <v>293</v>
      </c>
      <c r="Y7" s="194">
        <v>191.8</v>
      </c>
      <c r="Z7" s="194">
        <v>1563.05</v>
      </c>
      <c r="AA7" s="195"/>
      <c r="AB7" s="195"/>
      <c r="AC7" s="195"/>
      <c r="AF7" s="194" t="s">
        <v>293</v>
      </c>
      <c r="AG7" s="194">
        <v>191.8</v>
      </c>
      <c r="AH7" s="194">
        <v>1563.05</v>
      </c>
      <c r="AI7" s="195"/>
      <c r="AJ7" s="196"/>
      <c r="AK7" s="195"/>
      <c r="AL7" s="197"/>
    </row>
    <row r="8">
      <c r="B8" s="194" t="s">
        <v>294</v>
      </c>
      <c r="C8" s="194">
        <v>191.9</v>
      </c>
      <c r="D8" s="194">
        <v>1562.23</v>
      </c>
      <c r="E8" s="195"/>
      <c r="F8" s="195"/>
      <c r="G8" s="195"/>
      <c r="I8" s="194" t="s">
        <v>294</v>
      </c>
      <c r="J8" s="194">
        <v>191.9</v>
      </c>
      <c r="K8" s="194">
        <v>1562.23</v>
      </c>
      <c r="L8" s="195"/>
      <c r="M8" s="195"/>
      <c r="N8" s="195"/>
      <c r="P8" s="194" t="s">
        <v>294</v>
      </c>
      <c r="Q8" s="194">
        <v>191.9</v>
      </c>
      <c r="R8" s="194">
        <v>1562.23</v>
      </c>
      <c r="S8" s="195"/>
      <c r="T8" s="195"/>
      <c r="U8" s="195"/>
      <c r="X8" s="194" t="s">
        <v>294</v>
      </c>
      <c r="Y8" s="194">
        <v>191.9</v>
      </c>
      <c r="Z8" s="194">
        <v>1562.23</v>
      </c>
      <c r="AA8" s="195"/>
      <c r="AB8" s="195"/>
      <c r="AC8" s="195"/>
      <c r="AF8" s="194" t="s">
        <v>294</v>
      </c>
      <c r="AG8" s="194">
        <v>191.9</v>
      </c>
      <c r="AH8" s="194">
        <v>1562.23</v>
      </c>
      <c r="AI8" s="195"/>
      <c r="AJ8" s="196"/>
      <c r="AK8" s="195"/>
      <c r="AL8" s="197"/>
    </row>
    <row r="9">
      <c r="B9" s="194" t="s">
        <v>295</v>
      </c>
      <c r="C9" s="194">
        <v>192.0</v>
      </c>
      <c r="D9" s="194">
        <v>1561.42</v>
      </c>
      <c r="E9" s="195"/>
      <c r="F9" s="195"/>
      <c r="G9" s="195"/>
      <c r="I9" s="194" t="s">
        <v>295</v>
      </c>
      <c r="J9" s="194">
        <v>192.0</v>
      </c>
      <c r="K9" s="194">
        <v>1561.42</v>
      </c>
      <c r="L9" s="195"/>
      <c r="M9" s="195"/>
      <c r="N9" s="195"/>
      <c r="P9" s="110" t="s">
        <v>295</v>
      </c>
      <c r="Q9" s="110">
        <v>192.0</v>
      </c>
      <c r="R9" s="110">
        <v>1561.42</v>
      </c>
      <c r="S9" s="198"/>
      <c r="T9" s="88"/>
      <c r="U9" s="88"/>
      <c r="X9" s="194" t="s">
        <v>295</v>
      </c>
      <c r="Y9" s="194">
        <v>192.0</v>
      </c>
      <c r="Z9" s="194">
        <v>1561.42</v>
      </c>
      <c r="AA9" s="195"/>
      <c r="AB9" s="195"/>
      <c r="AC9" s="195"/>
      <c r="AF9" s="194" t="s">
        <v>295</v>
      </c>
      <c r="AG9" s="194">
        <v>192.0</v>
      </c>
      <c r="AH9" s="194">
        <v>1561.42</v>
      </c>
      <c r="AI9" s="195"/>
      <c r="AJ9" s="196"/>
      <c r="AK9" s="195"/>
      <c r="AL9" s="197"/>
    </row>
    <row r="10">
      <c r="B10" s="110" t="s">
        <v>296</v>
      </c>
      <c r="C10" s="110">
        <v>192.1</v>
      </c>
      <c r="D10" s="110">
        <v>1560.61</v>
      </c>
      <c r="E10" s="88"/>
      <c r="F10" s="88"/>
      <c r="G10" s="88"/>
      <c r="I10" s="110" t="s">
        <v>296</v>
      </c>
      <c r="J10" s="110">
        <v>192.1</v>
      </c>
      <c r="K10" s="110">
        <v>1560.61</v>
      </c>
      <c r="L10" s="88"/>
      <c r="M10" s="88"/>
      <c r="N10" s="88"/>
      <c r="P10" s="110" t="s">
        <v>296</v>
      </c>
      <c r="Q10" s="110">
        <v>192.1</v>
      </c>
      <c r="R10" s="110">
        <v>1560.61</v>
      </c>
      <c r="S10" s="198"/>
      <c r="T10" s="88"/>
      <c r="U10" s="88"/>
      <c r="X10" s="110" t="s">
        <v>296</v>
      </c>
      <c r="Y10" s="110">
        <v>192.1</v>
      </c>
      <c r="Z10" s="110">
        <v>1560.61</v>
      </c>
      <c r="AA10" s="88"/>
      <c r="AB10" s="88"/>
      <c r="AC10" s="88"/>
      <c r="AF10" s="110" t="s">
        <v>296</v>
      </c>
      <c r="AG10" s="110">
        <v>192.1</v>
      </c>
      <c r="AH10" s="110">
        <v>1560.61</v>
      </c>
      <c r="AI10" s="88"/>
      <c r="AJ10" s="199"/>
      <c r="AK10" s="200"/>
      <c r="AL10" s="197"/>
    </row>
    <row r="11">
      <c r="B11" s="110" t="s">
        <v>297</v>
      </c>
      <c r="C11" s="110">
        <v>192.2</v>
      </c>
      <c r="D11" s="110">
        <v>1559.79</v>
      </c>
      <c r="E11" s="88"/>
      <c r="F11" s="88"/>
      <c r="G11" s="88"/>
      <c r="I11" s="110" t="s">
        <v>297</v>
      </c>
      <c r="J11" s="110">
        <v>192.2</v>
      </c>
      <c r="K11" s="110">
        <v>1559.79</v>
      </c>
      <c r="L11" s="88"/>
      <c r="M11" s="88"/>
      <c r="N11" s="88"/>
      <c r="P11" s="110" t="s">
        <v>297</v>
      </c>
      <c r="Q11" s="110">
        <v>192.2</v>
      </c>
      <c r="R11" s="110">
        <v>1559.79</v>
      </c>
      <c r="S11" s="201" t="s">
        <v>360</v>
      </c>
      <c r="T11" s="88"/>
      <c r="U11" s="88"/>
      <c r="X11" s="110" t="s">
        <v>297</v>
      </c>
      <c r="Y11" s="110">
        <v>192.2</v>
      </c>
      <c r="Z11" s="110">
        <v>1559.79</v>
      </c>
      <c r="AA11" s="88"/>
      <c r="AB11" s="88"/>
      <c r="AC11" s="88"/>
      <c r="AF11" s="110" t="s">
        <v>297</v>
      </c>
      <c r="AG11" s="110">
        <v>192.2</v>
      </c>
      <c r="AH11" s="110">
        <v>1559.79</v>
      </c>
      <c r="AI11" s="88"/>
      <c r="AJ11" s="199"/>
      <c r="AK11" s="200"/>
      <c r="AL11" s="197"/>
    </row>
    <row r="12">
      <c r="B12" s="110" t="s">
        <v>298</v>
      </c>
      <c r="C12" s="110">
        <v>192.3</v>
      </c>
      <c r="D12" s="110">
        <v>1558.98</v>
      </c>
      <c r="E12" s="88"/>
      <c r="F12" s="88"/>
      <c r="G12" s="88"/>
      <c r="I12" s="110" t="s">
        <v>298</v>
      </c>
      <c r="J12" s="110">
        <v>192.3</v>
      </c>
      <c r="K12" s="110">
        <v>1558.98</v>
      </c>
      <c r="L12" s="88"/>
      <c r="M12" s="88"/>
      <c r="N12" s="88"/>
      <c r="P12" s="110" t="s">
        <v>298</v>
      </c>
      <c r="Q12" s="110">
        <v>192.3</v>
      </c>
      <c r="R12" s="110">
        <v>1558.98</v>
      </c>
      <c r="S12" s="201" t="s">
        <v>360</v>
      </c>
      <c r="T12" s="88"/>
      <c r="U12" s="88"/>
      <c r="X12" s="110" t="s">
        <v>298</v>
      </c>
      <c r="Y12" s="110">
        <v>192.3</v>
      </c>
      <c r="Z12" s="110">
        <v>1558.98</v>
      </c>
      <c r="AA12" s="88"/>
      <c r="AB12" s="88"/>
      <c r="AC12" s="88"/>
      <c r="AF12" s="110" t="s">
        <v>298</v>
      </c>
      <c r="AG12" s="110">
        <v>192.3</v>
      </c>
      <c r="AH12" s="110">
        <v>1558.98</v>
      </c>
      <c r="AI12" s="88"/>
      <c r="AJ12" s="199"/>
      <c r="AK12" s="200"/>
      <c r="AL12" s="197"/>
    </row>
    <row r="13">
      <c r="B13" s="110" t="s">
        <v>299</v>
      </c>
      <c r="C13" s="110">
        <v>192.4</v>
      </c>
      <c r="D13" s="110">
        <v>1558.17</v>
      </c>
      <c r="E13" s="88"/>
      <c r="F13" s="88"/>
      <c r="G13" s="88"/>
      <c r="I13" s="110" t="s">
        <v>299</v>
      </c>
      <c r="J13" s="110">
        <v>192.4</v>
      </c>
      <c r="K13" s="110">
        <v>1558.17</v>
      </c>
      <c r="L13" s="88"/>
      <c r="M13" s="88"/>
      <c r="N13" s="88"/>
      <c r="P13" s="110" t="s">
        <v>299</v>
      </c>
      <c r="Q13" s="110">
        <v>192.4</v>
      </c>
      <c r="R13" s="110">
        <v>1558.17</v>
      </c>
      <c r="S13" s="201" t="s">
        <v>360</v>
      </c>
      <c r="T13" s="88"/>
      <c r="U13" s="88"/>
      <c r="X13" s="110" t="s">
        <v>299</v>
      </c>
      <c r="Y13" s="110">
        <v>192.4</v>
      </c>
      <c r="Z13" s="110">
        <v>1558.17</v>
      </c>
      <c r="AA13" s="88"/>
      <c r="AB13" s="88"/>
      <c r="AC13" s="88"/>
      <c r="AF13" s="110" t="s">
        <v>299</v>
      </c>
      <c r="AG13" s="110">
        <v>192.4</v>
      </c>
      <c r="AH13" s="110">
        <v>1558.17</v>
      </c>
      <c r="AI13" s="88"/>
      <c r="AJ13" s="199"/>
      <c r="AK13" s="200"/>
      <c r="AL13" s="197"/>
    </row>
    <row r="14">
      <c r="B14" s="110" t="s">
        <v>300</v>
      </c>
      <c r="C14" s="110">
        <v>192.5</v>
      </c>
      <c r="D14" s="110">
        <v>1557.36</v>
      </c>
      <c r="E14" s="88"/>
      <c r="F14" s="88"/>
      <c r="G14" s="88"/>
      <c r="I14" s="110" t="s">
        <v>300</v>
      </c>
      <c r="J14" s="110">
        <v>192.5</v>
      </c>
      <c r="K14" s="110">
        <v>1557.36</v>
      </c>
      <c r="L14" s="88"/>
      <c r="M14" s="88"/>
      <c r="N14" s="88"/>
      <c r="P14" s="110" t="s">
        <v>300</v>
      </c>
      <c r="Q14" s="110">
        <v>192.5</v>
      </c>
      <c r="R14" s="110">
        <v>1557.36</v>
      </c>
      <c r="S14" s="201" t="s">
        <v>360</v>
      </c>
      <c r="T14" s="88"/>
      <c r="U14" s="88"/>
      <c r="X14" s="110" t="s">
        <v>300</v>
      </c>
      <c r="Y14" s="110">
        <v>192.5</v>
      </c>
      <c r="Z14" s="110">
        <v>1557.36</v>
      </c>
      <c r="AA14" s="88"/>
      <c r="AB14" s="88"/>
      <c r="AC14" s="88"/>
      <c r="AF14" s="110" t="s">
        <v>300</v>
      </c>
      <c r="AG14" s="110">
        <v>192.5</v>
      </c>
      <c r="AH14" s="110">
        <v>1557.36</v>
      </c>
      <c r="AI14" s="88"/>
      <c r="AJ14" s="199"/>
      <c r="AK14" s="200"/>
      <c r="AL14" s="197"/>
    </row>
    <row r="15">
      <c r="B15" s="110" t="s">
        <v>301</v>
      </c>
      <c r="C15" s="110">
        <v>192.6</v>
      </c>
      <c r="D15" s="110">
        <v>1556.55</v>
      </c>
      <c r="E15" s="88"/>
      <c r="F15" s="88"/>
      <c r="G15" s="88"/>
      <c r="I15" s="110" t="s">
        <v>301</v>
      </c>
      <c r="J15" s="110">
        <v>192.6</v>
      </c>
      <c r="K15" s="110">
        <v>1556.55</v>
      </c>
      <c r="L15" s="88"/>
      <c r="M15" s="88"/>
      <c r="N15" s="88"/>
      <c r="P15" s="110" t="s">
        <v>301</v>
      </c>
      <c r="Q15" s="110">
        <v>192.6</v>
      </c>
      <c r="R15" s="110">
        <v>1556.55</v>
      </c>
      <c r="S15" s="201" t="s">
        <v>360</v>
      </c>
      <c r="T15" s="88"/>
      <c r="U15" s="88"/>
      <c r="X15" s="110" t="s">
        <v>301</v>
      </c>
      <c r="Y15" s="110">
        <v>192.6</v>
      </c>
      <c r="Z15" s="110">
        <v>1556.55</v>
      </c>
      <c r="AA15" s="198"/>
      <c r="AB15" s="200"/>
      <c r="AC15" s="200"/>
      <c r="AF15" s="110" t="s">
        <v>301</v>
      </c>
      <c r="AG15" s="110">
        <v>192.6</v>
      </c>
      <c r="AH15" s="110">
        <v>1556.55</v>
      </c>
      <c r="AI15" s="198"/>
      <c r="AJ15" s="202"/>
      <c r="AK15" s="200"/>
      <c r="AL15" s="197"/>
    </row>
    <row r="16">
      <c r="B16" s="110" t="s">
        <v>302</v>
      </c>
      <c r="C16" s="110">
        <v>192.7</v>
      </c>
      <c r="D16" s="110">
        <v>1555.75</v>
      </c>
      <c r="E16" s="88"/>
      <c r="F16" s="88"/>
      <c r="G16" s="88"/>
      <c r="I16" s="110" t="s">
        <v>302</v>
      </c>
      <c r="J16" s="110">
        <v>192.7</v>
      </c>
      <c r="K16" s="110">
        <v>1555.75</v>
      </c>
      <c r="L16" s="88"/>
      <c r="M16" s="88"/>
      <c r="N16" s="88"/>
      <c r="P16" s="110" t="s">
        <v>302</v>
      </c>
      <c r="Q16" s="110">
        <v>192.7</v>
      </c>
      <c r="R16" s="110">
        <v>1555.75</v>
      </c>
      <c r="S16" s="201" t="s">
        <v>360</v>
      </c>
      <c r="T16" s="88"/>
      <c r="U16" s="88"/>
      <c r="X16" s="110" t="s">
        <v>302</v>
      </c>
      <c r="Y16" s="110">
        <v>192.7</v>
      </c>
      <c r="Z16" s="110">
        <v>1555.75</v>
      </c>
      <c r="AA16" s="198"/>
      <c r="AB16" s="200"/>
      <c r="AC16" s="200"/>
      <c r="AF16" s="110" t="s">
        <v>302</v>
      </c>
      <c r="AG16" s="110">
        <v>192.7</v>
      </c>
      <c r="AH16" s="110">
        <v>1555.75</v>
      </c>
      <c r="AI16" s="198"/>
      <c r="AJ16" s="202"/>
      <c r="AK16" s="200"/>
      <c r="AL16" s="197"/>
    </row>
    <row r="17">
      <c r="B17" s="110" t="s">
        <v>303</v>
      </c>
      <c r="C17" s="110">
        <v>192.8</v>
      </c>
      <c r="D17" s="110">
        <v>1554.94</v>
      </c>
      <c r="E17" s="88"/>
      <c r="F17" s="88"/>
      <c r="G17" s="88"/>
      <c r="I17" s="110" t="s">
        <v>303</v>
      </c>
      <c r="J17" s="110">
        <v>192.8</v>
      </c>
      <c r="K17" s="110">
        <v>1554.94</v>
      </c>
      <c r="L17" s="88"/>
      <c r="M17" s="88"/>
      <c r="N17" s="88"/>
      <c r="P17" s="110" t="s">
        <v>303</v>
      </c>
      <c r="Q17" s="110">
        <v>192.8</v>
      </c>
      <c r="R17" s="110">
        <v>1554.94</v>
      </c>
      <c r="S17" s="201" t="s">
        <v>360</v>
      </c>
      <c r="T17" s="88"/>
      <c r="U17" s="88"/>
      <c r="X17" s="110" t="s">
        <v>303</v>
      </c>
      <c r="Y17" s="110">
        <v>192.8</v>
      </c>
      <c r="Z17" s="110">
        <v>1554.94</v>
      </c>
      <c r="AA17" s="198"/>
      <c r="AB17" s="200"/>
      <c r="AC17" s="200"/>
      <c r="AF17" s="110" t="s">
        <v>303</v>
      </c>
      <c r="AG17" s="110">
        <v>192.8</v>
      </c>
      <c r="AH17" s="110">
        <v>1554.94</v>
      </c>
      <c r="AI17" s="198"/>
      <c r="AJ17" s="202"/>
      <c r="AK17" s="200"/>
      <c r="AL17" s="197"/>
    </row>
    <row r="18">
      <c r="B18" s="110" t="s">
        <v>304</v>
      </c>
      <c r="C18" s="110">
        <v>192.9</v>
      </c>
      <c r="D18" s="110">
        <v>1554.13</v>
      </c>
      <c r="E18" s="88"/>
      <c r="F18" s="88"/>
      <c r="G18" s="88"/>
      <c r="I18" s="110" t="s">
        <v>304</v>
      </c>
      <c r="J18" s="110">
        <v>192.9</v>
      </c>
      <c r="K18" s="110">
        <v>1554.13</v>
      </c>
      <c r="L18" s="88"/>
      <c r="M18" s="88"/>
      <c r="N18" s="88"/>
      <c r="P18" s="110" t="s">
        <v>304</v>
      </c>
      <c r="Q18" s="110">
        <v>192.9</v>
      </c>
      <c r="R18" s="110">
        <v>1554.13</v>
      </c>
      <c r="S18" s="201" t="s">
        <v>360</v>
      </c>
      <c r="T18" s="200"/>
      <c r="U18" s="88"/>
      <c r="X18" s="110" t="s">
        <v>304</v>
      </c>
      <c r="Y18" s="110">
        <v>192.9</v>
      </c>
      <c r="Z18" s="110">
        <v>1554.13</v>
      </c>
      <c r="AA18" s="203" t="s">
        <v>360</v>
      </c>
      <c r="AB18" s="119"/>
      <c r="AC18" s="119"/>
      <c r="AF18" s="110" t="s">
        <v>304</v>
      </c>
      <c r="AG18" s="110">
        <v>192.9</v>
      </c>
      <c r="AH18" s="110">
        <v>1554.13</v>
      </c>
      <c r="AI18" s="198"/>
      <c r="AJ18" s="202"/>
      <c r="AK18" s="200"/>
      <c r="AL18" s="197"/>
    </row>
    <row r="19">
      <c r="B19" s="110" t="s">
        <v>305</v>
      </c>
      <c r="C19" s="110">
        <v>193.0</v>
      </c>
      <c r="D19" s="110">
        <v>1553.33</v>
      </c>
      <c r="E19" s="88"/>
      <c r="F19" s="88"/>
      <c r="G19" s="88"/>
      <c r="I19" s="110" t="s">
        <v>305</v>
      </c>
      <c r="J19" s="110">
        <v>193.0</v>
      </c>
      <c r="K19" s="110">
        <v>1553.33</v>
      </c>
      <c r="L19" s="88"/>
      <c r="M19" s="88"/>
      <c r="N19" s="88"/>
      <c r="P19" s="110" t="s">
        <v>305</v>
      </c>
      <c r="Q19" s="110">
        <v>193.0</v>
      </c>
      <c r="R19" s="110">
        <v>1553.33</v>
      </c>
      <c r="S19" s="201" t="s">
        <v>360</v>
      </c>
      <c r="T19" s="200"/>
      <c r="U19" s="204"/>
      <c r="X19" s="110" t="s">
        <v>305</v>
      </c>
      <c r="Y19" s="110">
        <v>193.0</v>
      </c>
      <c r="Z19" s="110">
        <v>1553.33</v>
      </c>
      <c r="AA19" s="203" t="s">
        <v>360</v>
      </c>
      <c r="AB19" s="119"/>
      <c r="AC19" s="119"/>
      <c r="AF19" s="110" t="s">
        <v>305</v>
      </c>
      <c r="AG19" s="110">
        <v>193.0</v>
      </c>
      <c r="AH19" s="110">
        <v>1553.33</v>
      </c>
      <c r="AI19" s="198"/>
      <c r="AJ19" s="202"/>
      <c r="AK19" s="200"/>
      <c r="AL19" s="197"/>
    </row>
    <row r="20">
      <c r="B20" s="110" t="s">
        <v>306</v>
      </c>
      <c r="C20" s="110">
        <v>193.1</v>
      </c>
      <c r="D20" s="110">
        <v>1552.52</v>
      </c>
      <c r="E20" s="200"/>
      <c r="F20" s="198"/>
      <c r="G20" s="198"/>
      <c r="I20" s="110" t="s">
        <v>306</v>
      </c>
      <c r="J20" s="110">
        <v>193.1</v>
      </c>
      <c r="K20" s="110">
        <v>1552.52</v>
      </c>
      <c r="L20" s="88"/>
      <c r="M20" s="88"/>
      <c r="N20" s="88"/>
      <c r="P20" s="110" t="s">
        <v>306</v>
      </c>
      <c r="Q20" s="110">
        <v>193.1</v>
      </c>
      <c r="R20" s="110">
        <v>1552.52</v>
      </c>
      <c r="S20" s="201" t="s">
        <v>360</v>
      </c>
      <c r="T20" s="200"/>
      <c r="U20" s="204"/>
      <c r="X20" s="110" t="s">
        <v>306</v>
      </c>
      <c r="Y20" s="110">
        <v>193.1</v>
      </c>
      <c r="Z20" s="110">
        <v>1552.52</v>
      </c>
      <c r="AA20" s="203" t="s">
        <v>360</v>
      </c>
      <c r="AB20" s="205"/>
      <c r="AC20" s="205"/>
      <c r="AF20" s="110" t="s">
        <v>306</v>
      </c>
      <c r="AG20" s="110">
        <v>193.1</v>
      </c>
      <c r="AH20" s="110">
        <v>1552.52</v>
      </c>
      <c r="AI20" s="88"/>
      <c r="AJ20" s="88"/>
      <c r="AK20" s="198"/>
      <c r="AL20" s="206"/>
    </row>
    <row r="21">
      <c r="B21" s="110" t="s">
        <v>307</v>
      </c>
      <c r="C21" s="110">
        <v>193.2</v>
      </c>
      <c r="D21" s="110">
        <v>1551.72</v>
      </c>
      <c r="E21" s="200"/>
      <c r="F21" s="198"/>
      <c r="G21" s="198"/>
      <c r="I21" s="110" t="s">
        <v>307</v>
      </c>
      <c r="J21" s="110">
        <v>193.2</v>
      </c>
      <c r="K21" s="110">
        <v>1551.72</v>
      </c>
      <c r="L21" s="88"/>
      <c r="M21" s="88"/>
      <c r="N21" s="88"/>
      <c r="P21" s="110" t="s">
        <v>307</v>
      </c>
      <c r="Q21" s="110">
        <v>193.2</v>
      </c>
      <c r="R21" s="110">
        <v>1551.72</v>
      </c>
      <c r="S21" s="201" t="s">
        <v>360</v>
      </c>
      <c r="T21" s="200"/>
      <c r="U21" s="204"/>
      <c r="X21" s="110" t="s">
        <v>307</v>
      </c>
      <c r="Y21" s="110">
        <v>193.2</v>
      </c>
      <c r="Z21" s="110">
        <v>1551.72</v>
      </c>
      <c r="AA21" s="203" t="s">
        <v>360</v>
      </c>
      <c r="AB21" s="205"/>
      <c r="AC21" s="205"/>
      <c r="AF21" s="110" t="s">
        <v>307</v>
      </c>
      <c r="AG21" s="110">
        <v>193.2</v>
      </c>
      <c r="AH21" s="110">
        <v>1551.72</v>
      </c>
      <c r="AI21" s="88"/>
      <c r="AJ21" s="88"/>
      <c r="AK21" s="198"/>
      <c r="AL21" s="206"/>
    </row>
    <row r="22">
      <c r="B22" s="110" t="s">
        <v>308</v>
      </c>
      <c r="C22" s="110">
        <v>193.3</v>
      </c>
      <c r="D22" s="110">
        <v>1550.92</v>
      </c>
      <c r="E22" s="198"/>
      <c r="F22" s="198"/>
      <c r="G22" s="198"/>
      <c r="I22" s="110" t="s">
        <v>308</v>
      </c>
      <c r="J22" s="110">
        <v>193.3</v>
      </c>
      <c r="K22" s="110">
        <v>1550.92</v>
      </c>
      <c r="L22" s="89"/>
      <c r="M22" s="89"/>
      <c r="N22" s="201" t="s">
        <v>360</v>
      </c>
      <c r="P22" s="110" t="s">
        <v>308</v>
      </c>
      <c r="Q22" s="110">
        <v>193.3</v>
      </c>
      <c r="R22" s="110">
        <v>1550.92</v>
      </c>
      <c r="S22" s="201" t="s">
        <v>360</v>
      </c>
      <c r="T22" s="200"/>
      <c r="U22" s="204"/>
      <c r="X22" s="110" t="s">
        <v>308</v>
      </c>
      <c r="Y22" s="110">
        <v>193.3</v>
      </c>
      <c r="Z22" s="110">
        <v>1550.92</v>
      </c>
      <c r="AA22" s="203" t="s">
        <v>360</v>
      </c>
      <c r="AB22" s="205"/>
      <c r="AC22" s="205"/>
      <c r="AF22" s="110" t="s">
        <v>308</v>
      </c>
      <c r="AG22" s="110">
        <v>193.3</v>
      </c>
      <c r="AH22" s="110">
        <v>1550.92</v>
      </c>
      <c r="AI22" s="88"/>
      <c r="AJ22" s="88"/>
      <c r="AK22" s="198"/>
      <c r="AL22" s="206"/>
    </row>
    <row r="23">
      <c r="B23" s="110" t="s">
        <v>309</v>
      </c>
      <c r="C23" s="110">
        <v>193.4</v>
      </c>
      <c r="D23" s="110">
        <v>1550.12</v>
      </c>
      <c r="E23" s="205"/>
      <c r="F23" s="203" t="s">
        <v>360</v>
      </c>
      <c r="G23" s="203" t="s">
        <v>360</v>
      </c>
      <c r="I23" s="110" t="s">
        <v>309</v>
      </c>
      <c r="J23" s="110">
        <v>193.4</v>
      </c>
      <c r="K23" s="110">
        <v>1550.12</v>
      </c>
      <c r="L23" s="201" t="s">
        <v>360</v>
      </c>
      <c r="M23" s="201" t="s">
        <v>360</v>
      </c>
      <c r="N23" s="201" t="s">
        <v>360</v>
      </c>
      <c r="P23" s="110" t="s">
        <v>309</v>
      </c>
      <c r="Q23" s="110">
        <v>193.4</v>
      </c>
      <c r="R23" s="110">
        <v>1550.12</v>
      </c>
      <c r="S23" s="201" t="s">
        <v>360</v>
      </c>
      <c r="T23" s="200"/>
      <c r="U23" s="204"/>
      <c r="X23" s="110" t="s">
        <v>309</v>
      </c>
      <c r="Y23" s="110">
        <v>193.4</v>
      </c>
      <c r="Z23" s="110">
        <v>1550.12</v>
      </c>
      <c r="AA23" s="207" t="s">
        <v>360</v>
      </c>
      <c r="AB23" s="203" t="s">
        <v>360</v>
      </c>
      <c r="AC23" s="203" t="s">
        <v>360</v>
      </c>
      <c r="AF23" s="110" t="s">
        <v>309</v>
      </c>
      <c r="AG23" s="110">
        <v>193.4</v>
      </c>
      <c r="AH23" s="110">
        <v>1550.12</v>
      </c>
      <c r="AI23" s="198"/>
      <c r="AJ23" s="201" t="s">
        <v>360</v>
      </c>
      <c r="AK23" s="198"/>
      <c r="AL23" s="206"/>
    </row>
    <row r="24">
      <c r="B24" s="110" t="s">
        <v>310</v>
      </c>
      <c r="C24" s="110">
        <v>193.5</v>
      </c>
      <c r="D24" s="110">
        <v>1549.32</v>
      </c>
      <c r="E24" s="119"/>
      <c r="F24" s="207" t="s">
        <v>360</v>
      </c>
      <c r="G24" s="207" t="s">
        <v>360</v>
      </c>
      <c r="I24" s="110" t="s">
        <v>310</v>
      </c>
      <c r="J24" s="110">
        <v>193.5</v>
      </c>
      <c r="K24" s="110">
        <v>1549.32</v>
      </c>
      <c r="L24" s="201" t="s">
        <v>360</v>
      </c>
      <c r="M24" s="201" t="s">
        <v>360</v>
      </c>
      <c r="N24" s="201" t="s">
        <v>360</v>
      </c>
      <c r="P24" s="110" t="s">
        <v>310</v>
      </c>
      <c r="Q24" s="110">
        <v>193.5</v>
      </c>
      <c r="R24" s="110">
        <v>1549.32</v>
      </c>
      <c r="S24" s="72"/>
      <c r="T24" s="200"/>
      <c r="U24" s="204"/>
      <c r="X24" s="110" t="s">
        <v>310</v>
      </c>
      <c r="Y24" s="110">
        <v>193.5</v>
      </c>
      <c r="Z24" s="110">
        <v>1549.32</v>
      </c>
      <c r="AA24" s="207" t="s">
        <v>360</v>
      </c>
      <c r="AB24" s="203" t="s">
        <v>360</v>
      </c>
      <c r="AC24" s="203" t="s">
        <v>360</v>
      </c>
      <c r="AF24" s="110" t="s">
        <v>310</v>
      </c>
      <c r="AG24" s="110">
        <v>193.5</v>
      </c>
      <c r="AH24" s="110">
        <v>1549.32</v>
      </c>
      <c r="AI24" s="198"/>
      <c r="AJ24" s="201" t="s">
        <v>360</v>
      </c>
      <c r="AK24" s="204"/>
      <c r="AL24" s="206"/>
    </row>
    <row r="25">
      <c r="B25" s="110" t="s">
        <v>311</v>
      </c>
      <c r="C25" s="110">
        <v>193.6</v>
      </c>
      <c r="D25" s="110">
        <v>1548.51</v>
      </c>
      <c r="E25" s="205"/>
      <c r="F25" s="207" t="s">
        <v>360</v>
      </c>
      <c r="G25" s="207" t="s">
        <v>360</v>
      </c>
      <c r="I25" s="110" t="s">
        <v>311</v>
      </c>
      <c r="J25" s="110">
        <v>193.6</v>
      </c>
      <c r="K25" s="110">
        <v>1548.51</v>
      </c>
      <c r="L25" s="201" t="s">
        <v>360</v>
      </c>
      <c r="M25" s="201" t="s">
        <v>360</v>
      </c>
      <c r="N25" s="201" t="s">
        <v>360</v>
      </c>
      <c r="P25" s="110" t="s">
        <v>311</v>
      </c>
      <c r="Q25" s="110">
        <v>193.6</v>
      </c>
      <c r="R25" s="110">
        <v>1548.51</v>
      </c>
      <c r="S25" s="72"/>
      <c r="T25" s="200"/>
      <c r="U25" s="204"/>
      <c r="X25" s="110" t="s">
        <v>311</v>
      </c>
      <c r="Y25" s="110">
        <v>193.6</v>
      </c>
      <c r="Z25" s="110">
        <v>1548.51</v>
      </c>
      <c r="AA25" s="203" t="s">
        <v>360</v>
      </c>
      <c r="AB25" s="207" t="s">
        <v>360</v>
      </c>
      <c r="AC25" s="207" t="s">
        <v>360</v>
      </c>
      <c r="AF25" s="110" t="s">
        <v>311</v>
      </c>
      <c r="AG25" s="110">
        <v>193.6</v>
      </c>
      <c r="AH25" s="110">
        <v>1548.51</v>
      </c>
      <c r="AI25" s="198"/>
      <c r="AJ25" s="201" t="s">
        <v>360</v>
      </c>
      <c r="AK25" s="126"/>
      <c r="AL25" s="208"/>
    </row>
    <row r="26">
      <c r="B26" s="110" t="s">
        <v>312</v>
      </c>
      <c r="C26" s="110">
        <v>193.7</v>
      </c>
      <c r="D26" s="110">
        <v>1547.72</v>
      </c>
      <c r="E26" s="209"/>
      <c r="F26" s="203" t="s">
        <v>360</v>
      </c>
      <c r="G26" s="203" t="s">
        <v>360</v>
      </c>
      <c r="I26" s="110" t="s">
        <v>312</v>
      </c>
      <c r="J26" s="110">
        <v>193.7</v>
      </c>
      <c r="K26" s="110">
        <v>1547.72</v>
      </c>
      <c r="L26" s="201" t="s">
        <v>360</v>
      </c>
      <c r="M26" s="201" t="s">
        <v>360</v>
      </c>
      <c r="N26" s="89"/>
      <c r="P26" s="110" t="s">
        <v>312</v>
      </c>
      <c r="Q26" s="110">
        <v>193.7</v>
      </c>
      <c r="R26" s="110">
        <v>1547.72</v>
      </c>
      <c r="S26" s="21" t="s">
        <v>361</v>
      </c>
      <c r="T26" s="200"/>
      <c r="U26" s="204"/>
      <c r="X26" s="110" t="s">
        <v>312</v>
      </c>
      <c r="Y26" s="110">
        <v>193.7</v>
      </c>
      <c r="Z26" s="110">
        <v>1547.72</v>
      </c>
      <c r="AA26" s="205"/>
      <c r="AB26" s="203" t="s">
        <v>360</v>
      </c>
      <c r="AC26" s="203" t="s">
        <v>360</v>
      </c>
      <c r="AF26" s="110" t="s">
        <v>312</v>
      </c>
      <c r="AG26" s="110">
        <v>193.7</v>
      </c>
      <c r="AH26" s="110">
        <v>1547.72</v>
      </c>
      <c r="AI26" s="200"/>
      <c r="AJ26" s="201" t="s">
        <v>360</v>
      </c>
      <c r="AK26" s="198"/>
      <c r="AL26" s="206"/>
    </row>
    <row r="27">
      <c r="B27" s="110" t="s">
        <v>313</v>
      </c>
      <c r="C27" s="110">
        <v>193.8</v>
      </c>
      <c r="D27" s="110">
        <v>1546.92</v>
      </c>
      <c r="E27" s="119"/>
      <c r="F27" s="205"/>
      <c r="G27" s="119"/>
      <c r="I27" s="110" t="s">
        <v>313</v>
      </c>
      <c r="J27" s="110">
        <v>193.8</v>
      </c>
      <c r="K27" s="110">
        <v>1546.92</v>
      </c>
      <c r="L27" s="198"/>
      <c r="M27" s="198"/>
      <c r="N27" s="89"/>
      <c r="P27" s="110" t="s">
        <v>313</v>
      </c>
      <c r="Q27" s="110">
        <v>193.8</v>
      </c>
      <c r="R27" s="110">
        <v>1546.92</v>
      </c>
      <c r="S27" s="21" t="s">
        <v>361</v>
      </c>
      <c r="T27" s="200"/>
      <c r="U27" s="204"/>
      <c r="X27" s="110" t="s">
        <v>313</v>
      </c>
      <c r="Y27" s="110">
        <v>193.8</v>
      </c>
      <c r="Z27" s="110">
        <v>1546.92</v>
      </c>
      <c r="AA27" s="205"/>
      <c r="AB27" s="87"/>
      <c r="AC27" s="87"/>
      <c r="AF27" s="110" t="s">
        <v>313</v>
      </c>
      <c r="AG27" s="110">
        <v>193.8</v>
      </c>
      <c r="AH27" s="110">
        <v>1546.92</v>
      </c>
      <c r="AI27" s="200"/>
      <c r="AJ27" s="210"/>
      <c r="AK27" s="204"/>
      <c r="AL27" s="208"/>
    </row>
    <row r="28">
      <c r="B28" s="110" t="s">
        <v>314</v>
      </c>
      <c r="C28" s="110">
        <v>193.9</v>
      </c>
      <c r="D28" s="110">
        <v>1546.12</v>
      </c>
      <c r="E28" s="211" t="s">
        <v>361</v>
      </c>
      <c r="F28" s="205"/>
      <c r="G28" s="119"/>
      <c r="I28" s="110" t="s">
        <v>314</v>
      </c>
      <c r="J28" s="110">
        <v>193.9</v>
      </c>
      <c r="K28" s="110">
        <v>1546.12</v>
      </c>
      <c r="L28" s="89"/>
      <c r="M28" s="89"/>
      <c r="N28" s="21" t="s">
        <v>361</v>
      </c>
      <c r="P28" s="110" t="s">
        <v>314</v>
      </c>
      <c r="Q28" s="110">
        <v>193.9</v>
      </c>
      <c r="R28" s="110">
        <v>1546.12</v>
      </c>
      <c r="S28" s="21" t="s">
        <v>361</v>
      </c>
      <c r="T28" s="200"/>
      <c r="U28" s="204"/>
      <c r="X28" s="110" t="s">
        <v>314</v>
      </c>
      <c r="Y28" s="110">
        <v>193.9</v>
      </c>
      <c r="Z28" s="110">
        <v>1546.12</v>
      </c>
      <c r="AA28" s="212" t="s">
        <v>361</v>
      </c>
      <c r="AB28" s="119"/>
      <c r="AC28" s="119"/>
      <c r="AF28" s="110" t="s">
        <v>314</v>
      </c>
      <c r="AG28" s="110">
        <v>193.9</v>
      </c>
      <c r="AH28" s="110">
        <v>1546.12</v>
      </c>
      <c r="AI28" s="198"/>
      <c r="AJ28" s="213"/>
      <c r="AK28" s="204"/>
      <c r="AL28" s="208"/>
    </row>
    <row r="29">
      <c r="B29" s="110" t="s">
        <v>315</v>
      </c>
      <c r="C29" s="110">
        <v>194.0</v>
      </c>
      <c r="D29" s="110">
        <v>1545.32</v>
      </c>
      <c r="E29" s="211" t="s">
        <v>361</v>
      </c>
      <c r="F29" s="211" t="s">
        <v>362</v>
      </c>
      <c r="G29" s="211" t="s">
        <v>362</v>
      </c>
      <c r="I29" s="110" t="s">
        <v>315</v>
      </c>
      <c r="J29" s="110">
        <v>194.0</v>
      </c>
      <c r="K29" s="110">
        <v>1545.32</v>
      </c>
      <c r="L29" s="21" t="s">
        <v>361</v>
      </c>
      <c r="M29" s="21" t="s">
        <v>361</v>
      </c>
      <c r="N29" s="21" t="s">
        <v>361</v>
      </c>
      <c r="P29" s="110" t="s">
        <v>315</v>
      </c>
      <c r="Q29" s="110">
        <v>194.0</v>
      </c>
      <c r="R29" s="110">
        <v>1545.32</v>
      </c>
      <c r="S29" s="21" t="s">
        <v>361</v>
      </c>
      <c r="T29" s="200"/>
      <c r="U29" s="204"/>
      <c r="X29" s="110" t="s">
        <v>315</v>
      </c>
      <c r="Y29" s="110">
        <v>194.0</v>
      </c>
      <c r="Z29" s="110">
        <v>1545.32</v>
      </c>
      <c r="AA29" s="212" t="s">
        <v>361</v>
      </c>
      <c r="AB29" s="211" t="s">
        <v>361</v>
      </c>
      <c r="AC29" s="211" t="s">
        <v>361</v>
      </c>
      <c r="AF29" s="110" t="s">
        <v>315</v>
      </c>
      <c r="AG29" s="110">
        <v>194.0</v>
      </c>
      <c r="AH29" s="110">
        <v>1545.32</v>
      </c>
      <c r="AI29" s="21" t="s">
        <v>361</v>
      </c>
      <c r="AJ29" s="21" t="s">
        <v>361</v>
      </c>
      <c r="AK29" s="204"/>
      <c r="AL29" s="206"/>
    </row>
    <row r="30">
      <c r="B30" s="110" t="s">
        <v>316</v>
      </c>
      <c r="C30" s="110">
        <v>194.1</v>
      </c>
      <c r="D30" s="110">
        <v>1544.53</v>
      </c>
      <c r="E30" s="205"/>
      <c r="F30" s="119"/>
      <c r="G30" s="119"/>
      <c r="I30" s="110" t="s">
        <v>316</v>
      </c>
      <c r="J30" s="110">
        <v>194.1</v>
      </c>
      <c r="K30" s="110">
        <v>1544.53</v>
      </c>
      <c r="L30" s="89"/>
      <c r="M30" s="89"/>
      <c r="N30" s="89"/>
      <c r="P30" s="110" t="s">
        <v>316</v>
      </c>
      <c r="Q30" s="110">
        <v>194.1</v>
      </c>
      <c r="R30" s="110">
        <v>1544.53</v>
      </c>
      <c r="S30" s="21" t="s">
        <v>361</v>
      </c>
      <c r="T30" s="200"/>
      <c r="U30" s="88"/>
      <c r="X30" s="110" t="s">
        <v>316</v>
      </c>
      <c r="Y30" s="110">
        <v>194.1</v>
      </c>
      <c r="Z30" s="110">
        <v>1544.53</v>
      </c>
      <c r="AA30" s="211" t="s">
        <v>361</v>
      </c>
      <c r="AB30" s="119"/>
      <c r="AC30" s="119"/>
      <c r="AF30" s="110" t="s">
        <v>316</v>
      </c>
      <c r="AG30" s="110">
        <v>194.1</v>
      </c>
      <c r="AH30" s="110">
        <v>1544.53</v>
      </c>
      <c r="AI30" s="198"/>
      <c r="AJ30" s="213"/>
      <c r="AK30" s="200"/>
      <c r="AL30" s="197"/>
    </row>
    <row r="31">
      <c r="B31" s="110" t="s">
        <v>317</v>
      </c>
      <c r="C31" s="110">
        <v>194.2</v>
      </c>
      <c r="D31" s="110">
        <v>1543.73</v>
      </c>
      <c r="E31" s="119"/>
      <c r="F31" s="119"/>
      <c r="G31" s="119"/>
      <c r="I31" s="110" t="s">
        <v>317</v>
      </c>
      <c r="J31" s="110">
        <v>194.2</v>
      </c>
      <c r="K31" s="110">
        <v>1543.73</v>
      </c>
      <c r="L31" s="89"/>
      <c r="M31" s="89"/>
      <c r="N31" s="89"/>
      <c r="P31" s="110" t="s">
        <v>317</v>
      </c>
      <c r="Q31" s="110">
        <v>194.2</v>
      </c>
      <c r="R31" s="110">
        <v>1543.73</v>
      </c>
      <c r="S31" s="72"/>
      <c r="T31" s="200"/>
      <c r="U31" s="88"/>
      <c r="X31" s="110" t="s">
        <v>317</v>
      </c>
      <c r="Y31" s="110">
        <v>194.2</v>
      </c>
      <c r="Z31" s="110">
        <v>1543.73</v>
      </c>
      <c r="AA31" s="205"/>
      <c r="AB31" s="119"/>
      <c r="AC31" s="119"/>
      <c r="AF31" s="110" t="s">
        <v>317</v>
      </c>
      <c r="AG31" s="110">
        <v>194.2</v>
      </c>
      <c r="AH31" s="110">
        <v>1543.73</v>
      </c>
      <c r="AI31" s="200"/>
      <c r="AJ31" s="213"/>
      <c r="AK31" s="204"/>
      <c r="AL31" s="197"/>
    </row>
    <row r="32">
      <c r="B32" s="110" t="s">
        <v>318</v>
      </c>
      <c r="C32" s="110">
        <v>194.3</v>
      </c>
      <c r="D32" s="110">
        <v>1542.94</v>
      </c>
      <c r="E32" s="214" t="s">
        <v>363</v>
      </c>
      <c r="F32" s="214" t="s">
        <v>363</v>
      </c>
      <c r="G32" s="214" t="s">
        <v>363</v>
      </c>
      <c r="I32" s="110" t="s">
        <v>318</v>
      </c>
      <c r="J32" s="110">
        <v>194.3</v>
      </c>
      <c r="K32" s="110">
        <v>1542.94</v>
      </c>
      <c r="L32" s="215" t="s">
        <v>363</v>
      </c>
      <c r="M32" s="215" t="s">
        <v>363</v>
      </c>
      <c r="N32" s="215" t="s">
        <v>363</v>
      </c>
      <c r="P32" s="110" t="s">
        <v>318</v>
      </c>
      <c r="Q32" s="110">
        <v>194.3</v>
      </c>
      <c r="R32" s="110">
        <v>1542.94</v>
      </c>
      <c r="S32" s="72"/>
      <c r="T32" s="88"/>
      <c r="U32" s="88"/>
      <c r="X32" s="110" t="s">
        <v>318</v>
      </c>
      <c r="Y32" s="110">
        <v>194.3</v>
      </c>
      <c r="Z32" s="110">
        <v>1542.94</v>
      </c>
      <c r="AA32" s="205"/>
      <c r="AB32" s="214" t="s">
        <v>363</v>
      </c>
      <c r="AC32" s="214" t="s">
        <v>363</v>
      </c>
      <c r="AF32" s="110" t="s">
        <v>318</v>
      </c>
      <c r="AG32" s="110">
        <v>194.3</v>
      </c>
      <c r="AH32" s="110">
        <v>1542.94</v>
      </c>
      <c r="AI32" s="215" t="s">
        <v>363</v>
      </c>
      <c r="AJ32" s="215" t="s">
        <v>363</v>
      </c>
      <c r="AK32" s="200"/>
      <c r="AL32" s="197"/>
    </row>
    <row r="33">
      <c r="B33" s="110" t="s">
        <v>319</v>
      </c>
      <c r="C33" s="110">
        <v>194.4</v>
      </c>
      <c r="D33" s="110">
        <v>1542.14</v>
      </c>
      <c r="E33" s="214" t="s">
        <v>363</v>
      </c>
      <c r="F33" s="119"/>
      <c r="G33" s="119"/>
      <c r="I33" s="110" t="s">
        <v>319</v>
      </c>
      <c r="J33" s="110">
        <v>194.4</v>
      </c>
      <c r="K33" s="110">
        <v>1542.14</v>
      </c>
      <c r="L33" s="89"/>
      <c r="M33" s="89"/>
      <c r="N33" s="215" t="s">
        <v>363</v>
      </c>
      <c r="P33" s="110" t="s">
        <v>319</v>
      </c>
      <c r="Q33" s="110">
        <v>194.4</v>
      </c>
      <c r="R33" s="110">
        <v>1542.14</v>
      </c>
      <c r="S33" s="215" t="s">
        <v>363</v>
      </c>
      <c r="T33" s="88"/>
      <c r="U33" s="88"/>
      <c r="X33" s="110" t="s">
        <v>319</v>
      </c>
      <c r="Y33" s="110">
        <v>194.4</v>
      </c>
      <c r="Z33" s="110">
        <v>1542.14</v>
      </c>
      <c r="AA33" s="214" t="s">
        <v>363</v>
      </c>
      <c r="AB33" s="119"/>
      <c r="AC33" s="119"/>
      <c r="AF33" s="110" t="s">
        <v>319</v>
      </c>
      <c r="AG33" s="110">
        <v>194.4</v>
      </c>
      <c r="AH33" s="110">
        <v>1542.14</v>
      </c>
      <c r="AI33" s="88"/>
      <c r="AJ33" s="199"/>
      <c r="AK33" s="200"/>
      <c r="AL33" s="197"/>
    </row>
    <row r="34">
      <c r="B34" s="110" t="s">
        <v>320</v>
      </c>
      <c r="C34" s="110">
        <v>194.5</v>
      </c>
      <c r="D34" s="110">
        <v>1541.35</v>
      </c>
      <c r="E34" s="88"/>
      <c r="F34" s="88"/>
      <c r="G34" s="88"/>
      <c r="I34" s="110" t="s">
        <v>320</v>
      </c>
      <c r="J34" s="110">
        <v>194.5</v>
      </c>
      <c r="K34" s="110">
        <v>1541.35</v>
      </c>
      <c r="L34" s="88"/>
      <c r="M34" s="88"/>
      <c r="N34" s="88"/>
      <c r="P34" s="110" t="s">
        <v>320</v>
      </c>
      <c r="Q34" s="110">
        <v>194.5</v>
      </c>
      <c r="R34" s="110">
        <v>1541.35</v>
      </c>
      <c r="S34" s="215" t="s">
        <v>363</v>
      </c>
      <c r="T34" s="88"/>
      <c r="U34" s="88"/>
      <c r="X34" s="110" t="s">
        <v>320</v>
      </c>
      <c r="Y34" s="110">
        <v>194.5</v>
      </c>
      <c r="Z34" s="110">
        <v>1541.35</v>
      </c>
      <c r="AA34" s="214" t="s">
        <v>363</v>
      </c>
      <c r="AB34" s="119"/>
      <c r="AC34" s="119"/>
      <c r="AF34" s="110" t="s">
        <v>320</v>
      </c>
      <c r="AG34" s="110">
        <v>194.5</v>
      </c>
      <c r="AH34" s="110">
        <v>1541.35</v>
      </c>
      <c r="AI34" s="88"/>
      <c r="AJ34" s="199"/>
      <c r="AK34" s="200"/>
      <c r="AL34" s="197"/>
    </row>
    <row r="35">
      <c r="B35" s="110" t="s">
        <v>321</v>
      </c>
      <c r="C35" s="110">
        <v>194.6</v>
      </c>
      <c r="D35" s="110">
        <v>1540.56</v>
      </c>
      <c r="E35" s="88"/>
      <c r="F35" s="88"/>
      <c r="G35" s="88"/>
      <c r="I35" s="110" t="s">
        <v>321</v>
      </c>
      <c r="J35" s="110">
        <v>194.6</v>
      </c>
      <c r="K35" s="110">
        <v>1540.56</v>
      </c>
      <c r="L35" s="88"/>
      <c r="M35" s="88"/>
      <c r="N35" s="88"/>
      <c r="P35" s="110" t="s">
        <v>321</v>
      </c>
      <c r="Q35" s="110">
        <v>194.6</v>
      </c>
      <c r="R35" s="110">
        <v>1540.56</v>
      </c>
      <c r="S35" s="215" t="s">
        <v>363</v>
      </c>
      <c r="T35" s="88"/>
      <c r="U35" s="88"/>
      <c r="X35" s="110" t="s">
        <v>321</v>
      </c>
      <c r="Y35" s="110">
        <v>194.6</v>
      </c>
      <c r="Z35" s="110">
        <v>1540.56</v>
      </c>
      <c r="AA35" s="214" t="s">
        <v>363</v>
      </c>
      <c r="AB35" s="119"/>
      <c r="AC35" s="119"/>
      <c r="AF35" s="110" t="s">
        <v>321</v>
      </c>
      <c r="AG35" s="110">
        <v>194.6</v>
      </c>
      <c r="AH35" s="110">
        <v>1540.56</v>
      </c>
      <c r="AI35" s="88"/>
      <c r="AJ35" s="199"/>
      <c r="AK35" s="200"/>
      <c r="AL35" s="197"/>
    </row>
    <row r="36">
      <c r="B36" s="110" t="s">
        <v>322</v>
      </c>
      <c r="C36" s="110">
        <v>194.7</v>
      </c>
      <c r="D36" s="110">
        <v>1539.77</v>
      </c>
      <c r="E36" s="88"/>
      <c r="F36" s="88"/>
      <c r="G36" s="88"/>
      <c r="I36" s="110" t="s">
        <v>322</v>
      </c>
      <c r="J36" s="110">
        <v>194.7</v>
      </c>
      <c r="K36" s="110">
        <v>1539.77</v>
      </c>
      <c r="L36" s="88"/>
      <c r="M36" s="88"/>
      <c r="N36" s="88"/>
      <c r="P36" s="110" t="s">
        <v>322</v>
      </c>
      <c r="Q36" s="110">
        <v>194.7</v>
      </c>
      <c r="R36" s="110">
        <v>1539.77</v>
      </c>
      <c r="S36" s="215" t="s">
        <v>363</v>
      </c>
      <c r="T36" s="88"/>
      <c r="U36" s="88"/>
      <c r="X36" s="110" t="s">
        <v>322</v>
      </c>
      <c r="Y36" s="110">
        <v>194.7</v>
      </c>
      <c r="Z36" s="110">
        <v>1539.77</v>
      </c>
      <c r="AA36" s="88"/>
      <c r="AB36" s="88"/>
      <c r="AC36" s="88"/>
      <c r="AF36" s="110" t="s">
        <v>322</v>
      </c>
      <c r="AG36" s="110">
        <v>194.7</v>
      </c>
      <c r="AH36" s="110">
        <v>1539.77</v>
      </c>
      <c r="AI36" s="88"/>
      <c r="AJ36" s="199"/>
      <c r="AK36" s="200"/>
      <c r="AL36" s="197"/>
    </row>
    <row r="37">
      <c r="B37" s="110" t="s">
        <v>323</v>
      </c>
      <c r="C37" s="110">
        <v>194.8</v>
      </c>
      <c r="D37" s="110">
        <v>1538.98</v>
      </c>
      <c r="E37" s="88"/>
      <c r="F37" s="88"/>
      <c r="G37" s="88"/>
      <c r="I37" s="110" t="s">
        <v>323</v>
      </c>
      <c r="J37" s="110">
        <v>194.8</v>
      </c>
      <c r="K37" s="110">
        <v>1538.98</v>
      </c>
      <c r="L37" s="88"/>
      <c r="M37" s="88"/>
      <c r="N37" s="88"/>
      <c r="P37" s="110" t="s">
        <v>323</v>
      </c>
      <c r="Q37" s="110">
        <v>194.8</v>
      </c>
      <c r="R37" s="110">
        <v>1538.98</v>
      </c>
      <c r="S37" s="215" t="s">
        <v>363</v>
      </c>
      <c r="T37" s="88"/>
      <c r="U37" s="88"/>
      <c r="X37" s="110" t="s">
        <v>323</v>
      </c>
      <c r="Y37" s="110">
        <v>194.8</v>
      </c>
      <c r="Z37" s="110">
        <v>1538.98</v>
      </c>
      <c r="AA37" s="88"/>
      <c r="AB37" s="88"/>
      <c r="AC37" s="88"/>
      <c r="AF37" s="110" t="s">
        <v>323</v>
      </c>
      <c r="AG37" s="110">
        <v>194.8</v>
      </c>
      <c r="AH37" s="110">
        <v>1538.98</v>
      </c>
      <c r="AI37" s="88"/>
      <c r="AJ37" s="199"/>
      <c r="AK37" s="200"/>
      <c r="AL37" s="197"/>
    </row>
    <row r="38">
      <c r="B38" s="110" t="s">
        <v>324</v>
      </c>
      <c r="C38" s="110">
        <v>194.9</v>
      </c>
      <c r="D38" s="110">
        <v>1538.19</v>
      </c>
      <c r="E38" s="88"/>
      <c r="F38" s="88"/>
      <c r="G38" s="88"/>
      <c r="I38" s="110" t="s">
        <v>324</v>
      </c>
      <c r="J38" s="110">
        <v>194.9</v>
      </c>
      <c r="K38" s="110">
        <v>1538.19</v>
      </c>
      <c r="L38" s="88"/>
      <c r="M38" s="88"/>
      <c r="N38" s="88"/>
      <c r="P38" s="110" t="s">
        <v>324</v>
      </c>
      <c r="Q38" s="110">
        <v>194.9</v>
      </c>
      <c r="R38" s="110">
        <v>1538.19</v>
      </c>
      <c r="S38" s="88"/>
      <c r="T38" s="88"/>
      <c r="U38" s="88"/>
      <c r="X38" s="110" t="s">
        <v>324</v>
      </c>
      <c r="Y38" s="110">
        <v>194.9</v>
      </c>
      <c r="Z38" s="110">
        <v>1538.19</v>
      </c>
      <c r="AA38" s="88"/>
      <c r="AB38" s="88"/>
      <c r="AC38" s="88"/>
      <c r="AF38" s="110" t="s">
        <v>324</v>
      </c>
      <c r="AG38" s="110">
        <v>194.9</v>
      </c>
      <c r="AH38" s="110">
        <v>1538.19</v>
      </c>
      <c r="AI38" s="88"/>
      <c r="AJ38" s="199"/>
      <c r="AK38" s="204"/>
      <c r="AL38" s="197"/>
    </row>
    <row r="39">
      <c r="B39" s="110" t="s">
        <v>325</v>
      </c>
      <c r="C39" s="110">
        <v>195.0</v>
      </c>
      <c r="D39" s="110">
        <v>1537.4</v>
      </c>
      <c r="E39" s="88"/>
      <c r="F39" s="88"/>
      <c r="G39" s="88"/>
      <c r="I39" s="110" t="s">
        <v>325</v>
      </c>
      <c r="J39" s="110">
        <v>195.0</v>
      </c>
      <c r="K39" s="110">
        <v>1537.4</v>
      </c>
      <c r="L39" s="88"/>
      <c r="M39" s="88"/>
      <c r="N39" s="88"/>
      <c r="P39" s="110" t="s">
        <v>325</v>
      </c>
      <c r="Q39" s="110">
        <v>195.0</v>
      </c>
      <c r="R39" s="110">
        <v>1537.4</v>
      </c>
      <c r="S39" s="88"/>
      <c r="T39" s="88"/>
      <c r="U39" s="88"/>
      <c r="X39" s="110" t="s">
        <v>325</v>
      </c>
      <c r="Y39" s="110">
        <v>195.0</v>
      </c>
      <c r="Z39" s="110">
        <v>1537.4</v>
      </c>
      <c r="AA39" s="88"/>
      <c r="AB39" s="88"/>
      <c r="AC39" s="88"/>
      <c r="AF39" s="110" t="s">
        <v>325</v>
      </c>
      <c r="AG39" s="110">
        <v>195.0</v>
      </c>
      <c r="AH39" s="110">
        <v>1537.4</v>
      </c>
      <c r="AI39" s="88"/>
      <c r="AJ39" s="199"/>
      <c r="AK39" s="204"/>
      <c r="AL39" s="197"/>
    </row>
    <row r="40">
      <c r="B40" s="110" t="s">
        <v>326</v>
      </c>
      <c r="C40" s="110">
        <v>195.1</v>
      </c>
      <c r="D40" s="110">
        <v>1536.61</v>
      </c>
      <c r="E40" s="88"/>
      <c r="F40" s="88"/>
      <c r="G40" s="88"/>
      <c r="I40" s="110" t="s">
        <v>326</v>
      </c>
      <c r="J40" s="110">
        <v>195.1</v>
      </c>
      <c r="K40" s="110">
        <v>1536.61</v>
      </c>
      <c r="L40" s="88"/>
      <c r="M40" s="88"/>
      <c r="N40" s="88"/>
      <c r="P40" s="110" t="s">
        <v>326</v>
      </c>
      <c r="Q40" s="110">
        <v>195.1</v>
      </c>
      <c r="R40" s="110">
        <v>1536.61</v>
      </c>
      <c r="S40" s="88"/>
      <c r="T40" s="88"/>
      <c r="U40" s="88"/>
      <c r="X40" s="110" t="s">
        <v>326</v>
      </c>
      <c r="Y40" s="110">
        <v>195.1</v>
      </c>
      <c r="Z40" s="110">
        <v>1536.61</v>
      </c>
      <c r="AA40" s="88"/>
      <c r="AB40" s="88"/>
      <c r="AC40" s="88"/>
      <c r="AF40" s="110" t="s">
        <v>326</v>
      </c>
      <c r="AG40" s="110">
        <v>195.1</v>
      </c>
      <c r="AH40" s="110">
        <v>1536.61</v>
      </c>
      <c r="AI40" s="88"/>
      <c r="AJ40" s="199"/>
      <c r="AK40" s="204"/>
      <c r="AL40" s="197"/>
    </row>
    <row r="41">
      <c r="B41" s="110" t="s">
        <v>327</v>
      </c>
      <c r="C41" s="110">
        <v>195.2</v>
      </c>
      <c r="D41" s="110">
        <v>1535.82</v>
      </c>
      <c r="E41" s="88"/>
      <c r="F41" s="88"/>
      <c r="G41" s="88"/>
      <c r="I41" s="110" t="s">
        <v>327</v>
      </c>
      <c r="J41" s="110">
        <v>195.2</v>
      </c>
      <c r="K41" s="110">
        <v>1535.82</v>
      </c>
      <c r="L41" s="88"/>
      <c r="M41" s="88"/>
      <c r="N41" s="88"/>
      <c r="P41" s="110" t="s">
        <v>327</v>
      </c>
      <c r="Q41" s="110">
        <v>195.2</v>
      </c>
      <c r="R41" s="110">
        <v>1535.82</v>
      </c>
      <c r="S41" s="88"/>
      <c r="T41" s="88"/>
      <c r="U41" s="88"/>
      <c r="X41" s="110" t="s">
        <v>327</v>
      </c>
      <c r="Y41" s="110">
        <v>195.2</v>
      </c>
      <c r="Z41" s="110">
        <v>1535.82</v>
      </c>
      <c r="AA41" s="88"/>
      <c r="AB41" s="88"/>
      <c r="AC41" s="88"/>
      <c r="AF41" s="110" t="s">
        <v>327</v>
      </c>
      <c r="AG41" s="110">
        <v>195.2</v>
      </c>
      <c r="AH41" s="110">
        <v>1535.82</v>
      </c>
      <c r="AI41" s="88"/>
      <c r="AJ41" s="199"/>
      <c r="AK41" s="200"/>
      <c r="AL41" s="197"/>
    </row>
    <row r="42">
      <c r="B42" s="110" t="s">
        <v>328</v>
      </c>
      <c r="C42" s="110">
        <v>195.3</v>
      </c>
      <c r="D42" s="110">
        <v>1535.04</v>
      </c>
      <c r="E42" s="88"/>
      <c r="F42" s="88"/>
      <c r="G42" s="88"/>
      <c r="I42" s="110" t="s">
        <v>328</v>
      </c>
      <c r="J42" s="110">
        <v>195.3</v>
      </c>
      <c r="K42" s="110">
        <v>1535.04</v>
      </c>
      <c r="L42" s="88"/>
      <c r="M42" s="88"/>
      <c r="N42" s="88"/>
      <c r="P42" s="110" t="s">
        <v>328</v>
      </c>
      <c r="Q42" s="110">
        <v>195.3</v>
      </c>
      <c r="R42" s="110">
        <v>1535.04</v>
      </c>
      <c r="S42" s="88"/>
      <c r="T42" s="88"/>
      <c r="U42" s="88"/>
      <c r="X42" s="110" t="s">
        <v>328</v>
      </c>
      <c r="Y42" s="110">
        <v>195.3</v>
      </c>
      <c r="Z42" s="110">
        <v>1535.04</v>
      </c>
      <c r="AA42" s="88"/>
      <c r="AB42" s="88"/>
      <c r="AC42" s="88"/>
      <c r="AF42" s="110" t="s">
        <v>328</v>
      </c>
      <c r="AG42" s="110">
        <v>195.3</v>
      </c>
      <c r="AH42" s="110">
        <v>1535.04</v>
      </c>
      <c r="AI42" s="88"/>
      <c r="AJ42" s="199"/>
      <c r="AK42" s="200"/>
      <c r="AL42" s="197"/>
    </row>
    <row r="43">
      <c r="B43" s="110" t="s">
        <v>329</v>
      </c>
      <c r="C43" s="110">
        <v>195.4</v>
      </c>
      <c r="D43" s="110">
        <v>1534.25</v>
      </c>
      <c r="E43" s="88"/>
      <c r="F43" s="88"/>
      <c r="G43" s="88"/>
      <c r="I43" s="110" t="s">
        <v>329</v>
      </c>
      <c r="J43" s="110">
        <v>195.4</v>
      </c>
      <c r="K43" s="110">
        <v>1534.25</v>
      </c>
      <c r="L43" s="88"/>
      <c r="M43" s="88"/>
      <c r="N43" s="88"/>
      <c r="P43" s="110" t="s">
        <v>329</v>
      </c>
      <c r="Q43" s="110">
        <v>195.4</v>
      </c>
      <c r="R43" s="110">
        <v>1534.25</v>
      </c>
      <c r="S43" s="88"/>
      <c r="T43" s="88"/>
      <c r="U43" s="88"/>
      <c r="X43" s="110" t="s">
        <v>329</v>
      </c>
      <c r="Y43" s="110">
        <v>195.4</v>
      </c>
      <c r="Z43" s="110">
        <v>1534.25</v>
      </c>
      <c r="AA43" s="88"/>
      <c r="AB43" s="88"/>
      <c r="AC43" s="88"/>
      <c r="AF43" s="110" t="s">
        <v>329</v>
      </c>
      <c r="AG43" s="110">
        <v>195.4</v>
      </c>
      <c r="AH43" s="110">
        <v>1534.25</v>
      </c>
      <c r="AI43" s="88"/>
      <c r="AJ43" s="199"/>
      <c r="AK43" s="200"/>
      <c r="AL43" s="197"/>
    </row>
    <row r="44">
      <c r="B44" s="110" t="s">
        <v>330</v>
      </c>
      <c r="C44" s="110">
        <v>195.5</v>
      </c>
      <c r="D44" s="110">
        <v>1533.47</v>
      </c>
      <c r="E44" s="88"/>
      <c r="F44" s="88"/>
      <c r="G44" s="88"/>
      <c r="I44" s="110" t="s">
        <v>330</v>
      </c>
      <c r="J44" s="110">
        <v>195.5</v>
      </c>
      <c r="K44" s="110">
        <v>1533.47</v>
      </c>
      <c r="L44" s="88"/>
      <c r="M44" s="88"/>
      <c r="N44" s="88"/>
      <c r="P44" s="110" t="s">
        <v>330</v>
      </c>
      <c r="Q44" s="110">
        <v>195.5</v>
      </c>
      <c r="R44" s="110">
        <v>1533.47</v>
      </c>
      <c r="S44" s="88"/>
      <c r="T44" s="88"/>
      <c r="U44" s="88"/>
      <c r="X44" s="110" t="s">
        <v>330</v>
      </c>
      <c r="Y44" s="110">
        <v>195.5</v>
      </c>
      <c r="Z44" s="110">
        <v>1533.47</v>
      </c>
      <c r="AA44" s="88"/>
      <c r="AB44" s="88"/>
      <c r="AC44" s="88"/>
      <c r="AF44" s="110" t="s">
        <v>330</v>
      </c>
      <c r="AG44" s="110">
        <v>195.5</v>
      </c>
      <c r="AH44" s="110">
        <v>1533.47</v>
      </c>
      <c r="AI44" s="88"/>
      <c r="AJ44" s="199"/>
      <c r="AK44" s="200"/>
      <c r="AL44" s="197"/>
    </row>
    <row r="45">
      <c r="B45" s="110" t="s">
        <v>331</v>
      </c>
      <c r="C45" s="110">
        <v>195.6</v>
      </c>
      <c r="D45" s="110">
        <v>1532.68</v>
      </c>
      <c r="E45" s="88"/>
      <c r="F45" s="88"/>
      <c r="G45" s="88"/>
      <c r="I45" s="110" t="s">
        <v>331</v>
      </c>
      <c r="J45" s="110">
        <v>195.6</v>
      </c>
      <c r="K45" s="110">
        <v>1532.68</v>
      </c>
      <c r="L45" s="88"/>
      <c r="M45" s="88"/>
      <c r="N45" s="88"/>
      <c r="P45" s="110" t="s">
        <v>331</v>
      </c>
      <c r="Q45" s="110">
        <v>195.6</v>
      </c>
      <c r="R45" s="110">
        <v>1532.68</v>
      </c>
      <c r="S45" s="88"/>
      <c r="T45" s="88"/>
      <c r="U45" s="88"/>
      <c r="X45" s="110" t="s">
        <v>331</v>
      </c>
      <c r="Y45" s="110">
        <v>195.6</v>
      </c>
      <c r="Z45" s="110">
        <v>1532.68</v>
      </c>
      <c r="AA45" s="88"/>
      <c r="AB45" s="88"/>
      <c r="AC45" s="88"/>
      <c r="AF45" s="110" t="s">
        <v>331</v>
      </c>
      <c r="AG45" s="110">
        <v>195.6</v>
      </c>
      <c r="AH45" s="110">
        <v>1532.68</v>
      </c>
      <c r="AI45" s="88"/>
      <c r="AJ45" s="199"/>
      <c r="AK45" s="200"/>
      <c r="AL45" s="197"/>
    </row>
    <row r="46">
      <c r="B46" s="110" t="s">
        <v>332</v>
      </c>
      <c r="C46" s="110">
        <v>195.7</v>
      </c>
      <c r="D46" s="110">
        <v>1531.9</v>
      </c>
      <c r="E46" s="88"/>
      <c r="F46" s="88"/>
      <c r="G46" s="88"/>
      <c r="I46" s="110" t="s">
        <v>332</v>
      </c>
      <c r="J46" s="110">
        <v>195.7</v>
      </c>
      <c r="K46" s="110">
        <v>1531.9</v>
      </c>
      <c r="L46" s="88"/>
      <c r="M46" s="88"/>
      <c r="N46" s="88"/>
      <c r="P46" s="110" t="s">
        <v>332</v>
      </c>
      <c r="Q46" s="110">
        <v>195.7</v>
      </c>
      <c r="R46" s="110">
        <v>1531.9</v>
      </c>
      <c r="S46" s="88"/>
      <c r="T46" s="88"/>
      <c r="U46" s="88"/>
      <c r="X46" s="110" t="s">
        <v>332</v>
      </c>
      <c r="Y46" s="110">
        <v>195.7</v>
      </c>
      <c r="Z46" s="110">
        <v>1531.9</v>
      </c>
      <c r="AA46" s="88"/>
      <c r="AB46" s="88"/>
      <c r="AC46" s="88"/>
      <c r="AF46" s="110" t="s">
        <v>332</v>
      </c>
      <c r="AG46" s="110">
        <v>195.7</v>
      </c>
      <c r="AH46" s="110">
        <v>1531.9</v>
      </c>
      <c r="AI46" s="88"/>
      <c r="AJ46" s="199"/>
      <c r="AK46" s="200"/>
      <c r="AL46" s="197"/>
    </row>
    <row r="47">
      <c r="B47" s="110" t="s">
        <v>333</v>
      </c>
      <c r="C47" s="110">
        <v>195.8</v>
      </c>
      <c r="D47" s="110">
        <v>1531.12</v>
      </c>
      <c r="E47" s="88"/>
      <c r="F47" s="88"/>
      <c r="G47" s="88"/>
      <c r="I47" s="110" t="s">
        <v>333</v>
      </c>
      <c r="J47" s="110">
        <v>195.8</v>
      </c>
      <c r="K47" s="110">
        <v>1531.12</v>
      </c>
      <c r="L47" s="88"/>
      <c r="M47" s="88"/>
      <c r="N47" s="88"/>
      <c r="P47" s="110" t="s">
        <v>333</v>
      </c>
      <c r="Q47" s="110">
        <v>195.8</v>
      </c>
      <c r="R47" s="110">
        <v>1531.12</v>
      </c>
      <c r="S47" s="88"/>
      <c r="T47" s="88"/>
      <c r="U47" s="88"/>
      <c r="X47" s="110" t="s">
        <v>333</v>
      </c>
      <c r="Y47" s="110">
        <v>195.8</v>
      </c>
      <c r="Z47" s="110">
        <v>1531.12</v>
      </c>
      <c r="AA47" s="88"/>
      <c r="AB47" s="88"/>
      <c r="AC47" s="88"/>
      <c r="AF47" s="110" t="s">
        <v>333</v>
      </c>
      <c r="AG47" s="110">
        <v>195.8</v>
      </c>
      <c r="AH47" s="110">
        <v>1531.12</v>
      </c>
      <c r="AI47" s="88"/>
      <c r="AJ47" s="199"/>
      <c r="AK47" s="200"/>
      <c r="AL47" s="197"/>
    </row>
    <row r="48">
      <c r="B48" s="110" t="s">
        <v>334</v>
      </c>
      <c r="C48" s="110">
        <v>195.9</v>
      </c>
      <c r="D48" s="110">
        <v>1530.33</v>
      </c>
      <c r="E48" s="88"/>
      <c r="F48" s="88"/>
      <c r="G48" s="88"/>
      <c r="I48" s="110" t="s">
        <v>334</v>
      </c>
      <c r="J48" s="110">
        <v>195.9</v>
      </c>
      <c r="K48" s="110">
        <v>1530.33</v>
      </c>
      <c r="L48" s="88"/>
      <c r="M48" s="88"/>
      <c r="N48" s="88"/>
      <c r="P48" s="110" t="s">
        <v>334</v>
      </c>
      <c r="Q48" s="110">
        <v>195.9</v>
      </c>
      <c r="R48" s="110">
        <v>1530.33</v>
      </c>
      <c r="S48" s="88"/>
      <c r="T48" s="88"/>
      <c r="U48" s="88"/>
      <c r="X48" s="110" t="s">
        <v>334</v>
      </c>
      <c r="Y48" s="110">
        <v>195.9</v>
      </c>
      <c r="Z48" s="110">
        <v>1530.33</v>
      </c>
      <c r="AA48" s="88"/>
      <c r="AB48" s="88"/>
      <c r="AC48" s="88"/>
      <c r="AF48" s="110" t="s">
        <v>334</v>
      </c>
      <c r="AG48" s="110">
        <v>195.9</v>
      </c>
      <c r="AH48" s="110">
        <v>1530.33</v>
      </c>
      <c r="AI48" s="88"/>
      <c r="AJ48" s="199"/>
      <c r="AK48" s="200"/>
      <c r="AL48" s="197"/>
    </row>
    <row r="49">
      <c r="B49" s="110" t="s">
        <v>335</v>
      </c>
      <c r="C49" s="110">
        <v>196.0</v>
      </c>
      <c r="D49" s="110">
        <v>1529.55</v>
      </c>
      <c r="E49" s="88"/>
      <c r="F49" s="88"/>
      <c r="G49" s="88"/>
      <c r="I49" s="110" t="s">
        <v>335</v>
      </c>
      <c r="J49" s="110">
        <v>196.0</v>
      </c>
      <c r="K49" s="110">
        <v>1529.55</v>
      </c>
      <c r="L49" s="88"/>
      <c r="M49" s="88"/>
      <c r="N49" s="88"/>
      <c r="P49" s="110" t="s">
        <v>335</v>
      </c>
      <c r="Q49" s="110">
        <v>196.0</v>
      </c>
      <c r="R49" s="110">
        <v>1529.55</v>
      </c>
      <c r="S49" s="88"/>
      <c r="T49" s="88"/>
      <c r="U49" s="88"/>
      <c r="X49" s="110" t="s">
        <v>335</v>
      </c>
      <c r="Y49" s="110">
        <v>196.0</v>
      </c>
      <c r="Z49" s="110">
        <v>1529.55</v>
      </c>
      <c r="AA49" s="88"/>
      <c r="AB49" s="88"/>
      <c r="AC49" s="88"/>
      <c r="AF49" s="110" t="s">
        <v>335</v>
      </c>
      <c r="AG49" s="110">
        <v>196.0</v>
      </c>
      <c r="AH49" s="110">
        <v>1529.55</v>
      </c>
      <c r="AI49" s="88"/>
      <c r="AJ49" s="199"/>
      <c r="AK49" s="200"/>
      <c r="AL49" s="197"/>
    </row>
    <row r="50">
      <c r="B50" s="194" t="s">
        <v>336</v>
      </c>
      <c r="C50" s="194">
        <v>196.1</v>
      </c>
      <c r="D50" s="194">
        <v>1528.77</v>
      </c>
      <c r="E50" s="195"/>
      <c r="F50" s="195"/>
      <c r="G50" s="195"/>
      <c r="I50" s="194" t="s">
        <v>336</v>
      </c>
      <c r="J50" s="194">
        <v>196.1</v>
      </c>
      <c r="K50" s="194">
        <v>1528.77</v>
      </c>
      <c r="L50" s="195"/>
      <c r="M50" s="195"/>
      <c r="N50" s="195"/>
      <c r="P50" s="194" t="s">
        <v>336</v>
      </c>
      <c r="Q50" s="194">
        <v>196.1</v>
      </c>
      <c r="R50" s="194">
        <v>1528.77</v>
      </c>
      <c r="S50" s="195"/>
      <c r="T50" s="195"/>
      <c r="U50" s="195"/>
      <c r="X50" s="194" t="s">
        <v>336</v>
      </c>
      <c r="Y50" s="194">
        <v>196.1</v>
      </c>
      <c r="Z50" s="194">
        <v>1528.77</v>
      </c>
      <c r="AA50" s="195"/>
      <c r="AB50" s="195"/>
      <c r="AC50" s="195"/>
      <c r="AF50" s="194" t="s">
        <v>336</v>
      </c>
      <c r="AG50" s="194">
        <v>196.1</v>
      </c>
      <c r="AH50" s="194">
        <v>1528.77</v>
      </c>
      <c r="AI50" s="195"/>
      <c r="AJ50" s="196"/>
      <c r="AK50" s="196"/>
      <c r="AL50" s="197"/>
    </row>
    <row r="54">
      <c r="B54" s="201" t="s">
        <v>364</v>
      </c>
    </row>
    <row r="55">
      <c r="B55" s="215" t="s">
        <v>365</v>
      </c>
    </row>
    <row r="56">
      <c r="B56" s="21" t="s">
        <v>362</v>
      </c>
    </row>
    <row r="57">
      <c r="B57" s="216" t="s">
        <v>366</v>
      </c>
    </row>
    <row r="58">
      <c r="B58" s="217" t="s">
        <v>367</v>
      </c>
    </row>
  </sheetData>
  <mergeCells count="5">
    <mergeCell ref="B1:G1"/>
    <mergeCell ref="I1:N1"/>
    <mergeCell ref="P1:U1"/>
    <mergeCell ref="X1:AC1"/>
    <mergeCell ref="AF1:AK1"/>
  </mergeCells>
  <hyperlinks>
    <hyperlink r:id="rId1" ref="B2"/>
    <hyperlink r:id="rId2" ref="I2"/>
    <hyperlink r:id="rId3" ref="P2"/>
    <hyperlink r:id="rId4" ref="X2"/>
    <hyperlink r:id="rId5" ref="AF2"/>
  </hyperlinks>
  <drawing r:id="rId6"/>
</worksheet>
</file>